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raw_original" sheetId="2" state="visible" r:id="rId2"/>
    <sheet xmlns:r="http://schemas.openxmlformats.org/officeDocument/2006/relationships" name="sample_stage" sheetId="3" state="visible" r:id="rId3"/>
    <sheet xmlns:r="http://schemas.openxmlformats.org/officeDocument/2006/relationships" name="measurements_long" sheetId="4" state="visible" r:id="rId4"/>
    <sheet xmlns:r="http://schemas.openxmlformats.org/officeDocument/2006/relationships" name="experiment_metadata" sheetId="5" state="visible" r:id="rId5"/>
    <sheet xmlns:r="http://schemas.openxmlformats.org/officeDocument/2006/relationships" name="sample_constants" sheetId="6" state="visible" r:id="rId6"/>
    <sheet xmlns:r="http://schemas.openxmlformats.org/officeDocument/2006/relationships" name="uncertainty" sheetId="7" state="visible" r:id="rId7"/>
    <sheet xmlns:r="http://schemas.openxmlformats.org/officeDocument/2006/relationships" name="needed_inputs" sheetId="8" state="visible" r:id="rId8"/>
    <sheet xmlns:r="http://schemas.openxmlformats.org/officeDocument/2006/relationships" name="assumptions_update" sheetId="9" state="visible" r:id="rId9"/>
  </sheets>
  <definedNames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0.0%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00FF"/>
    </font>
    <font>
      <color rgb="00666666"/>
    </font>
    <font>
      <color rgb="00C65911"/>
    </font>
    <font>
      <color rgb="00000000"/>
    </font>
  </fonts>
  <fills count="7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4" fontId="0" fillId="0" borderId="0" pivotButton="0" quotePrefix="0" xfId="0"/>
    <xf numFmtId="1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164" fontId="6" fillId="0" borderId="0" applyAlignment="1" pivotButton="0" quotePrefix="0" xfId="0">
      <alignment vertical="top" wrapText="1"/>
    </xf>
    <xf numFmtId="166" fontId="3" fillId="4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3" borderId="0" applyAlignment="1" pivotButton="0" quotePrefix="0" xfId="0">
      <alignment horizont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SampleStage" displayName="SampleStage" ref="A1:N37" headerRowCount="1">
  <autoFilter ref="A1:N37"/>
  <tableColumns count="14">
    <tableColumn id="1" name="sample_seq_no"/>
    <tableColumn id="2" name="lab_sample_id"/>
    <tableColumn id="3" name="field"/>
    <tableColumn id="4" name="well"/>
    <tableColumn id="5" name="depth_m"/>
    <tableColumn id="6" name="tg_position_mm"/>
    <tableColumn id="7" name="stage"/>
    <tableColumn id="8" name="phi_pct"/>
    <tableColumn id="9" name="phi_frac"/>
    <tableColumn id="10" name="permeability_md_modeled"/>
    <tableColumn id="11" name="bulk_density_g_cm3"/>
    <tableColumn id="12" name="matrix_density_apparent_g_cm3"/>
    <tableColumn id="13" name="raw_row_index"/>
    <tableColumn id="14" name="notes"/>
  </tableColumns>
  <tableStyleInfo name="TableStyleMedium2" showRowStripes="1"/>
</table>
</file>

<file path=xl/tables/table2.xml><?xml version="1.0" encoding="utf-8"?>
<table xmlns="http://schemas.openxmlformats.org/spreadsheetml/2006/main" id="2" name="MeasurementsLong" displayName="MeasurementsLong" ref="A1:S73" headerRowCount="1">
  <autoFilter ref="A1:S73"/>
  <tableColumns count="19">
    <tableColumn id="1" name="sample_seq_no"/>
    <tableColumn id="2" name="lab_sample_id"/>
    <tableColumn id="3" name="field"/>
    <tableColumn id="4" name="well"/>
    <tableColumn id="5" name="depth_m"/>
    <tableColumn id="6" name="tg_position_mm"/>
    <tableColumn id="7" name="stage"/>
    <tableColumn id="8" name="fluid_state"/>
    <tableColumn id="9" name="phi_pct"/>
    <tableColumn id="10" name="phi_frac"/>
    <tableColumn id="11" name="permeability_md_modeled"/>
    <tableColumn id="12" name="bulk_density_g_cm3"/>
    <tableColumn id="13" name="matrix_density_apparent_g_cm3"/>
    <tableColumn id="14" name="tc_w_mk"/>
    <tableColumn id="15" name="vp_m_s"/>
    <tableColumn id="16" name="vs_m_s"/>
    <tableColumn id="17" name="resistivity_ohm_m"/>
    <tableColumn id="18" name="raw_row_index"/>
    <tableColumn id="19" name="notes"/>
  </tableColumns>
  <tableStyleInfo name="TableStyleMedium2" showRowStripes="1"/>
</table>
</file>

<file path=xl/tables/table3.xml><?xml version="1.0" encoding="utf-8"?>
<table xmlns="http://schemas.openxmlformats.org/spreadsheetml/2006/main" id="3" name="ExperimentMetadata" displayName="ExperimentMetadata" ref="A1:E41" headerRowCount="1">
  <autoFilter ref="A1:E41"/>
  <tableColumns count="5">
    <tableColumn id="1" name="section"/>
    <tableColumn id="2" name="parameter"/>
    <tableColumn id="3" name="value"/>
    <tableColumn id="4" name="unit"/>
    <tableColumn id="5" name="note"/>
  </tableColumns>
  <tableStyleInfo name="TableStyleMedium2" showRowStripes="1"/>
</table>
</file>

<file path=xl/tables/table4.xml><?xml version="1.0" encoding="utf-8"?>
<table xmlns="http://schemas.openxmlformats.org/spreadsheetml/2006/main" id="4" name="SampleConstants" displayName="SampleConstants" ref="A1:H19" headerRowCount="1">
  <autoFilter ref="A1:H19"/>
  <tableColumns count="8">
    <tableColumn id="1" name="parameter"/>
    <tableColumn id="2" name="default_value"/>
    <tableColumn id="3" name="lower_bound"/>
    <tableColumn id="4" name="upper_bound"/>
    <tableColumn id="5" name="unit"/>
    <tableColumn id="6" name="scope"/>
    <tableColumn id="7" name="note"/>
    <tableColumn id="8" name="source_url"/>
  </tableColumns>
  <tableStyleInfo name="TableStyleMedium2" showRowStripes="1"/>
</table>
</file>

<file path=xl/tables/table5.xml><?xml version="1.0" encoding="utf-8"?>
<table xmlns="http://schemas.openxmlformats.org/spreadsheetml/2006/main" id="5" name="Uncertainty" displayName="Uncertainty" ref="A1:F7" headerRowCount="1">
  <autoFilter ref="A1:F7"/>
  <tableColumns count="6">
    <tableColumn id="1" name="property"/>
    <tableColumn id="2" name="relative_sigma"/>
    <tableColumn id="3" name="absolute_sigma"/>
    <tableColumn id="4" name="unit"/>
    <tableColumn id="5" name="scope"/>
    <tableColumn id="6" name="note"/>
  </tableColumns>
  <tableStyleInfo name="TableStyleMedium2" showRowStripes="1"/>
</table>
</file>

<file path=xl/tables/table6.xml><?xml version="1.0" encoding="utf-8"?>
<table xmlns="http://schemas.openxmlformats.org/spreadsheetml/2006/main" id="6" name="NeededInputs" displayName="NeededInputs" ref="A1:D7" headerRowCount="1">
  <autoFilter ref="A1:D7"/>
  <tableColumns count="4">
    <tableColumn id="1" name="needed_item"/>
    <tableColumn id="2" name="why_needed"/>
    <tableColumn id="3" name="priority"/>
    <tableColumn id="4" name="current_status"/>
  </tableColumns>
  <tableStyleInfo name="TableStyleMedium2" showRowStripes="1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1" t="inlineStr">
        <is>
          <t>Назначение файла</t>
        </is>
      </c>
      <c r="B1" s="2" t="inlineStr">
        <is>
          <t>Рабочая структура данных для последующей совместной инверсии Mori–Tanaka (TC / Vp / Vs / УЭС).</t>
        </is>
      </c>
    </row>
    <row r="2">
      <c r="A2" s="1" t="inlineStr">
        <is>
          <t>Что изменено</t>
        </is>
      </c>
      <c r="B2" s="2" t="inlineStr">
        <is>
          <t>Экспериментальные данные вынесены в отдельные таблицы; константы и неопределённости вынесены на отдельные листы; служебные примечания исходного файла сохранены отдельно.</t>
        </is>
      </c>
    </row>
    <row r="3">
      <c r="A3" s="1" t="inlineStr">
        <is>
          <t>Ключевой лист для модели</t>
        </is>
      </c>
      <c r="B3" s="2" t="inlineStr">
        <is>
          <t>measurements_long</t>
        </is>
      </c>
    </row>
    <row r="4">
      <c r="A4" s="1" t="inlineStr">
        <is>
          <t>Что хранится в sample_stage</t>
        </is>
      </c>
      <c r="B4" s="2" t="inlineStr">
        <is>
          <t>Свойства, общие для стадии before/after: пористость, плотности, положение в ТГ, глубина, смоделированная проницаемость (только before).</t>
        </is>
      </c>
    </row>
    <row r="5">
      <c r="A5" s="1" t="inlineStr">
        <is>
          <t>Что хранится в measurements_long</t>
        </is>
      </c>
      <c r="B5" s="2" t="inlineStr">
        <is>
          <t>Одна строка = один образец × одна стадия × одно состояние насыщения (dry/wet). Это основной формат для D1/D2/D3.</t>
        </is>
      </c>
    </row>
    <row r="6">
      <c r="A6" s="1" t="inlineStr">
        <is>
          <t>Что хранится в sample_constants</t>
        </is>
      </c>
      <c r="B6" s="2" t="inlineStr">
        <is>
          <t>Глобальные/групповые константы и стартовые значения для Mori–Tanaka. Пользовательские допущения помечены в колонке note.</t>
        </is>
      </c>
    </row>
    <row r="7">
      <c r="A7" s="1" t="inlineStr">
        <is>
          <t>Что хранится в uncertainty</t>
        </is>
      </c>
      <c r="B7" s="2" t="inlineStr">
        <is>
          <t>Экспериментальные/наблюдательные погрешности. На первом этапе можно использовать относительные ошибки: TC = 2.5%, Vp/Vs = 5%, УЭС = 5%.</t>
        </is>
      </c>
    </row>
    <row r="8">
      <c r="A8" s="1" t="inlineStr">
        <is>
          <t>Важно</t>
        </is>
      </c>
      <c r="B8" s="2" t="inlineStr">
        <is>
          <t>В исходном листе значения пористости были подписаны как phi_frac, но фактически записаны в процентах. В новых листах сохранён столбец phi_pct, а phi_frac вычисляется формулой =phi_pct/100.</t>
        </is>
      </c>
    </row>
    <row r="9">
      <c r="A9" s="1" t="inlineStr">
        <is>
          <t>Важно</t>
        </is>
      </c>
      <c r="B9" s="2" t="inlineStr">
        <is>
          <t>Для УЭС в исходном файле доступны не все wet-измерения. Пропуски оставлены пустыми, чтобы не подменять отсутствующие данные нулями.</t>
        </is>
      </c>
    </row>
    <row r="10">
      <c r="A10" t="inlineStr">
        <is>
          <t>Обновление</t>
        </is>
      </c>
      <c r="B10" t="inlineStr">
        <is>
          <t>Добавлены пользовательские подтверждения: карбонаты, доступен элементный анализ, пропуски wet-УЭС соответствуют реально не выполненным измерениям, same-subsample assumption подтвержден.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</cols>
  <sheetData>
    <row r="1">
      <c r="A1" t="inlineStr">
        <is>
          <t>№</t>
        </is>
      </c>
      <c r="B1" t="inlineStr">
        <is>
          <t>Лаб. номер образца</t>
        </is>
      </c>
      <c r="C1" t="inlineStr">
        <is>
          <t>Месторождение</t>
        </is>
      </c>
      <c r="D1" t="inlineStr">
        <is>
          <t>Скважина</t>
        </is>
      </c>
      <c r="E1" t="inlineStr">
        <is>
          <t>Глубина, м</t>
        </is>
      </c>
      <c r="F1" t="inlineStr">
        <is>
          <t>Расположение в ТГ, мм</t>
        </is>
      </c>
      <c r="G1" t="inlineStr">
        <is>
          <t>phi_frac_before</t>
        </is>
      </c>
      <c r="H1" t="inlineStr">
        <is>
          <t>k_mD_before (modeled)</t>
        </is>
      </c>
      <c r="J1" t="inlineStr">
        <is>
          <t>tc_dried_before</t>
        </is>
      </c>
      <c r="K1" t="inlineStr">
        <is>
          <t>tc_brine_before</t>
        </is>
      </c>
      <c r="L1" t="inlineStr">
        <is>
          <t>Объёмная плотность, г/см3_before</t>
        </is>
      </c>
      <c r="M1" t="inlineStr">
        <is>
          <t>Кажущаяся минералогическая плотность, г/см3_before</t>
        </is>
      </c>
      <c r="N1" t="inlineStr">
        <is>
          <t>Vp_dried_before</t>
        </is>
      </c>
      <c r="O1" t="inlineStr">
        <is>
          <t>Vs_dried_before</t>
        </is>
      </c>
      <c r="P1" t="inlineStr">
        <is>
          <t>Vp_brine_before</t>
        </is>
      </c>
      <c r="Q1" t="inlineStr">
        <is>
          <t>Vs_brine_before, m/s</t>
        </is>
      </c>
      <c r="R1" t="inlineStr">
        <is>
          <t>R (brine 20 g/l)_before, Om*m</t>
        </is>
      </c>
      <c r="S1" t="inlineStr">
        <is>
          <t>phi_frac_after</t>
        </is>
      </c>
      <c r="T1" t="inlineStr">
        <is>
          <t>Объёмная плотность, г/см3_after</t>
        </is>
      </c>
      <c r="U1" t="inlineStr">
        <is>
          <t>Кажущаяся минералогическая плотность, г/см3_after</t>
        </is>
      </c>
      <c r="V1" t="inlineStr">
        <is>
          <t>tc_dried_after</t>
        </is>
      </c>
      <c r="W1" t="inlineStr">
        <is>
          <t>tc_brine_after</t>
        </is>
      </c>
      <c r="X1" t="inlineStr">
        <is>
          <t>Vp_dried_after</t>
        </is>
      </c>
      <c r="Y1" t="inlineStr">
        <is>
          <t>Vs_dried_after</t>
        </is>
      </c>
      <c r="Z1" t="inlineStr">
        <is>
          <t>Vp_brine_after</t>
        </is>
      </c>
      <c r="AA1" t="inlineStr">
        <is>
          <t>Vs_brine_after, m/s</t>
        </is>
      </c>
      <c r="AB1" t="inlineStr">
        <is>
          <t>R (brine 20 g/l)_after, Om*m</t>
        </is>
      </c>
    </row>
    <row r="3">
      <c r="A3" s="2" t="n">
        <v>1</v>
      </c>
      <c r="B3" s="2" t="n">
        <v>15</v>
      </c>
      <c r="C3" s="2" t="inlineStr">
        <is>
          <t>Марьинское</t>
        </is>
      </c>
      <c r="D3" s="2" t="n">
        <v>302</v>
      </c>
      <c r="E3" s="2" t="n">
        <v>1535.52</v>
      </c>
      <c r="F3" s="2" t="n">
        <v>18.54</v>
      </c>
      <c r="G3" s="2" t="n">
        <v>20.2354213459779</v>
      </c>
      <c r="H3" s="2" t="n">
        <v>85.06414079678508</v>
      </c>
      <c r="J3" s="2" t="n">
        <v>1.37</v>
      </c>
      <c r="K3" s="2" t="n">
        <v>2.08</v>
      </c>
      <c r="L3" s="2" t="n">
        <v>2.14639402295982</v>
      </c>
      <c r="M3" s="2" t="n">
        <v>2.690911253063566</v>
      </c>
      <c r="N3" s="2" t="n">
        <v>3177</v>
      </c>
      <c r="O3" s="2" t="n">
        <v>1938</v>
      </c>
      <c r="P3" s="2" t="n">
        <v>3613</v>
      </c>
      <c r="Q3" s="2" t="n">
        <v>1967</v>
      </c>
      <c r="S3" s="2" t="n">
        <v>21.4458360799824</v>
      </c>
      <c r="T3" s="2" t="n">
        <v>2.1</v>
      </c>
      <c r="U3" s="2" t="n">
        <v>2.68</v>
      </c>
      <c r="V3" s="2" t="n">
        <v>1.12</v>
      </c>
      <c r="W3" s="2" t="n">
        <v>2.06</v>
      </c>
      <c r="X3" s="2" t="n">
        <v>2557</v>
      </c>
      <c r="Y3" s="2" t="n">
        <v>1693</v>
      </c>
      <c r="Z3" s="2" t="n">
        <v>2769</v>
      </c>
      <c r="AA3" s="2" t="n">
        <v>1654</v>
      </c>
    </row>
    <row r="4">
      <c r="A4" s="2" t="n">
        <v>5</v>
      </c>
      <c r="B4" s="2" t="n">
        <v>20</v>
      </c>
      <c r="C4" s="2" t="inlineStr">
        <is>
          <t>Марьинское</t>
        </is>
      </c>
      <c r="D4" s="2" t="n">
        <v>302</v>
      </c>
      <c r="E4" s="2" t="inlineStr">
        <is>
          <t>-</t>
        </is>
      </c>
      <c r="F4" s="2" t="n">
        <v>45.08</v>
      </c>
      <c r="G4" s="2" t="n">
        <v>17.51736302502485</v>
      </c>
      <c r="H4" s="2" t="n">
        <v>32.67626719532011</v>
      </c>
      <c r="J4" s="2" t="n">
        <v>1.57</v>
      </c>
      <c r="K4" s="2" t="n">
        <v>2.05</v>
      </c>
      <c r="L4" s="2" t="n">
        <v>2.223834318156762</v>
      </c>
      <c r="M4" s="2" t="n">
        <v>2.696124178027266</v>
      </c>
      <c r="N4" s="2" t="n">
        <v>3870</v>
      </c>
      <c r="O4" s="2" t="n">
        <v>2334</v>
      </c>
      <c r="P4" s="2" t="n">
        <v>4108</v>
      </c>
      <c r="Q4" s="2" t="n">
        <v>2268</v>
      </c>
      <c r="R4" s="2" t="n">
        <v>7.66</v>
      </c>
      <c r="S4" s="2" t="n">
        <v>18.86330230279272</v>
      </c>
      <c r="T4" s="2" t="n">
        <v>2.18</v>
      </c>
      <c r="U4" s="2" t="n">
        <v>2.69</v>
      </c>
      <c r="V4" s="2" t="n">
        <v>1.39</v>
      </c>
      <c r="W4" s="2" t="n">
        <v>2.15</v>
      </c>
      <c r="X4" s="2" t="n">
        <v>3011</v>
      </c>
      <c r="Y4" s="2" t="n">
        <v>2004</v>
      </c>
      <c r="Z4" s="2" t="n">
        <v>3140</v>
      </c>
      <c r="AA4" s="2" t="n">
        <v>1992</v>
      </c>
      <c r="AB4" s="2" t="n">
        <v>4.97</v>
      </c>
    </row>
    <row r="5">
      <c r="A5" s="2" t="n">
        <v>2</v>
      </c>
      <c r="B5" s="2" t="n">
        <v>16.2</v>
      </c>
      <c r="C5" s="2" t="inlineStr">
        <is>
          <t>Марьинское</t>
        </is>
      </c>
      <c r="D5" s="2" t="n">
        <v>302</v>
      </c>
      <c r="E5" s="2" t="n">
        <v>1535.69</v>
      </c>
      <c r="F5" s="2" t="n">
        <v>73.27</v>
      </c>
      <c r="G5" s="2" t="n">
        <v>17.43567378979501</v>
      </c>
      <c r="H5" s="2" t="n">
        <v>31.75005411534451</v>
      </c>
      <c r="J5" s="2" t="n">
        <v>1.47</v>
      </c>
      <c r="K5" s="2" t="n">
        <v>2.25</v>
      </c>
      <c r="L5" s="2" t="n">
        <v>2.227197501090275</v>
      </c>
      <c r="M5" s="2" t="n">
        <v>2.69753003908726</v>
      </c>
      <c r="N5" s="2" t="n">
        <v>3505</v>
      </c>
      <c r="O5" s="2" t="n">
        <v>2072</v>
      </c>
      <c r="P5" s="2" t="n">
        <v>3615</v>
      </c>
      <c r="Q5" s="2" t="n">
        <v>1955</v>
      </c>
      <c r="S5" s="2" t="n">
        <v>18.74328678839957</v>
      </c>
      <c r="T5" s="2" t="n">
        <v>2.19</v>
      </c>
      <c r="U5" s="2" t="n">
        <v>2.7</v>
      </c>
      <c r="V5" s="2" t="n">
        <v>1.33</v>
      </c>
      <c r="W5" s="2" t="n">
        <v>2.24</v>
      </c>
      <c r="X5" s="2" t="n">
        <v>2713</v>
      </c>
      <c r="Y5" s="2" t="n">
        <v>1666</v>
      </c>
      <c r="Z5" s="2" t="n">
        <v>2955</v>
      </c>
      <c r="AA5" s="2" t="n">
        <v>1695</v>
      </c>
    </row>
    <row r="6">
      <c r="A6" s="2" t="n">
        <v>3</v>
      </c>
      <c r="B6" s="2" t="n">
        <v>18.1</v>
      </c>
      <c r="C6" s="2" t="inlineStr">
        <is>
          <t>Марьинское</t>
        </is>
      </c>
      <c r="D6" s="2" t="n">
        <v>302</v>
      </c>
      <c r="E6" s="2" t="n">
        <v>1536</v>
      </c>
      <c r="F6" s="2" t="n">
        <v>117.86</v>
      </c>
      <c r="G6" s="2" t="n">
        <v>16.71596565904337</v>
      </c>
      <c r="H6" s="2" t="n">
        <v>24.64458418260929</v>
      </c>
      <c r="J6" s="2" t="n">
        <v>1.57</v>
      </c>
      <c r="K6" s="2" t="n">
        <v>2.2</v>
      </c>
      <c r="L6" s="2" t="n">
        <v>2.248010240963855</v>
      </c>
      <c r="M6" s="2" t="n">
        <v>2.699209108627859</v>
      </c>
      <c r="N6" s="2" t="n">
        <v>3592</v>
      </c>
      <c r="O6" s="2" t="n">
        <v>2134</v>
      </c>
      <c r="P6" s="2" t="n">
        <v>3934</v>
      </c>
      <c r="Q6" s="2" t="n">
        <v>2044</v>
      </c>
      <c r="R6" s="2" t="n">
        <v>7.32</v>
      </c>
      <c r="S6" s="2" t="n">
        <v>18.87813211845101</v>
      </c>
      <c r="T6" s="2" t="n">
        <v>2.19</v>
      </c>
      <c r="U6" s="2" t="n">
        <v>2.7</v>
      </c>
      <c r="V6" s="2" t="n">
        <v>1.35</v>
      </c>
      <c r="W6" s="2" t="n">
        <v>2.26</v>
      </c>
      <c r="X6" s="2" t="n">
        <v>2494</v>
      </c>
      <c r="Y6" s="2" t="n">
        <v>1679</v>
      </c>
      <c r="Z6" s="2" t="n">
        <v>2937</v>
      </c>
      <c r="AA6" s="2" t="n">
        <v>1639</v>
      </c>
      <c r="AB6" s="2" t="n">
        <v>4.57</v>
      </c>
    </row>
    <row r="7">
      <c r="A7" s="2" t="n">
        <v>4</v>
      </c>
      <c r="B7" s="2" t="n">
        <v>19.2</v>
      </c>
      <c r="C7" s="2" t="inlineStr">
        <is>
          <t>Марьинское</t>
        </is>
      </c>
      <c r="D7" s="2" t="n">
        <v>302</v>
      </c>
      <c r="E7" s="2" t="n">
        <v>1536.32</v>
      </c>
      <c r="F7" s="2" t="n">
        <v>165.36</v>
      </c>
      <c r="G7" s="2" t="n">
        <v>15.91996355076315</v>
      </c>
      <c r="H7" s="2" t="n">
        <v>18.62238637609469</v>
      </c>
      <c r="J7" s="2" t="n">
        <v>1.74</v>
      </c>
      <c r="K7" s="2" t="n">
        <v>2.28</v>
      </c>
      <c r="L7" s="2" t="n">
        <v>2.275712977447035</v>
      </c>
      <c r="M7" s="2" t="n">
        <v>2.70660322420411</v>
      </c>
      <c r="N7" s="2" t="n">
        <v>4145</v>
      </c>
      <c r="O7" s="2" t="n">
        <v>2489</v>
      </c>
      <c r="P7" s="2" t="n">
        <v>4483</v>
      </c>
      <c r="Q7" s="2" t="n">
        <v>2423</v>
      </c>
      <c r="R7" s="2" t="n">
        <v>8</v>
      </c>
      <c r="S7" s="2" t="n">
        <v>17.64793560888359</v>
      </c>
      <c r="T7" s="2" t="n">
        <v>2.22</v>
      </c>
      <c r="U7" s="2" t="n">
        <v>2.7</v>
      </c>
      <c r="V7" s="2" t="n">
        <v>1.51</v>
      </c>
      <c r="W7" s="2" t="n">
        <v>2.31</v>
      </c>
      <c r="X7" s="2" t="n">
        <v>3040</v>
      </c>
      <c r="Y7" s="2" t="n">
        <v>1828</v>
      </c>
      <c r="Z7" s="2" t="n">
        <v>3317</v>
      </c>
      <c r="AA7" s="2" t="n">
        <v>1887</v>
      </c>
      <c r="AB7" s="2" t="n">
        <v>4.6</v>
      </c>
    </row>
    <row r="8">
      <c r="A8" s="2" t="n">
        <v>6</v>
      </c>
      <c r="B8" s="2" t="n">
        <v>12</v>
      </c>
      <c r="C8" s="2" t="inlineStr">
        <is>
          <t>Марьинское</t>
        </is>
      </c>
      <c r="D8" s="2" t="n">
        <v>302</v>
      </c>
      <c r="E8" s="2" t="n">
        <v>1535.2</v>
      </c>
      <c r="F8" s="2" t="n">
        <v>208.44</v>
      </c>
      <c r="G8" s="2" t="n">
        <v>15.5954465849387</v>
      </c>
      <c r="H8" s="2" t="n">
        <v>16.61215163302828</v>
      </c>
      <c r="J8" s="2" t="n">
        <v>1.77</v>
      </c>
      <c r="K8" s="2" t="n">
        <v>2.24</v>
      </c>
      <c r="L8" s="2" t="n">
        <v>2.271307184763573</v>
      </c>
      <c r="M8" s="2" t="n">
        <v>2.690977077497666</v>
      </c>
      <c r="N8" s="2" t="n">
        <v>4236</v>
      </c>
      <c r="O8" s="2" t="n">
        <v>2488</v>
      </c>
      <c r="P8" s="2" t="n">
        <v>4524</v>
      </c>
      <c r="Q8" s="2" t="n">
        <v>2412</v>
      </c>
      <c r="R8" s="2" t="n">
        <v>13.7</v>
      </c>
      <c r="S8" s="2" t="n">
        <v>17.85913398996469</v>
      </c>
      <c r="T8" s="2" t="n">
        <v>2.2</v>
      </c>
      <c r="U8" s="2" t="n">
        <v>2.68</v>
      </c>
      <c r="V8" s="2" t="n">
        <v>1.46</v>
      </c>
      <c r="W8" s="2" t="n">
        <v>2.1</v>
      </c>
      <c r="X8" s="2" t="n">
        <v>3121</v>
      </c>
      <c r="Y8" s="2" t="n">
        <v>2016</v>
      </c>
      <c r="Z8" s="2" t="n">
        <v>3145</v>
      </c>
      <c r="AA8" s="2" t="n">
        <v>2053</v>
      </c>
    </row>
    <row r="9">
      <c r="A9" s="2" t="n">
        <v>9</v>
      </c>
      <c r="B9" s="2" t="n">
        <v>23</v>
      </c>
      <c r="C9" s="2" t="inlineStr">
        <is>
          <t>Марьинское</t>
        </is>
      </c>
      <c r="D9" s="2" t="n">
        <v>302</v>
      </c>
      <c r="E9" s="2" t="n">
        <v>1537.19</v>
      </c>
      <c r="F9" s="2" t="n">
        <v>251.8</v>
      </c>
      <c r="G9" s="2" t="n">
        <v>15.38029013757164</v>
      </c>
      <c r="H9" s="2" t="n">
        <v>15.40049087905547</v>
      </c>
      <c r="J9" s="2" t="n">
        <v>1.81</v>
      </c>
      <c r="K9" s="2" t="n">
        <v>2.31</v>
      </c>
      <c r="L9" s="2" t="n">
        <v>2.286143786782623</v>
      </c>
      <c r="M9" s="2" t="n">
        <v>2.701668193496943</v>
      </c>
      <c r="N9" s="2" t="n">
        <v>4211</v>
      </c>
      <c r="O9" s="2" t="n">
        <v>2543</v>
      </c>
      <c r="P9" s="2" t="n">
        <v>4452</v>
      </c>
      <c r="Q9" s="2" t="n">
        <v>2463</v>
      </c>
      <c r="R9" s="2" t="n">
        <v>9.33</v>
      </c>
      <c r="S9" s="2" t="n">
        <v>17.16230211569759</v>
      </c>
      <c r="T9" s="2" t="n">
        <v>2.23</v>
      </c>
      <c r="U9" s="2" t="n">
        <v>2.69</v>
      </c>
      <c r="V9" s="2" t="n">
        <v>1.63</v>
      </c>
      <c r="W9" s="2" t="n">
        <v>2.25</v>
      </c>
      <c r="X9" s="2" t="n">
        <v>3375</v>
      </c>
      <c r="Y9" s="2" t="n">
        <v>2002</v>
      </c>
      <c r="Z9" s="2" t="n">
        <v>3384</v>
      </c>
      <c r="AA9" s="2" t="n">
        <v>2025</v>
      </c>
      <c r="AB9" s="2" t="n">
        <v>5.45</v>
      </c>
    </row>
    <row r="10">
      <c r="A10" s="2" t="n">
        <v>8</v>
      </c>
      <c r="B10" s="2" t="n">
        <v>20.1</v>
      </c>
      <c r="C10" s="2" t="inlineStr">
        <is>
          <t>Марьинское</t>
        </is>
      </c>
      <c r="D10" s="2" t="n">
        <v>302</v>
      </c>
      <c r="E10" s="2" t="n">
        <v>1536.49</v>
      </c>
      <c r="F10" s="2" t="n">
        <v>293.5849999999999</v>
      </c>
      <c r="G10" s="2" t="n">
        <v>14.96686215610547</v>
      </c>
      <c r="H10" s="2" t="n">
        <v>13.31475388026422</v>
      </c>
      <c r="J10" s="2" t="n">
        <v>1.78</v>
      </c>
      <c r="K10" s="2" t="n">
        <v>2.35</v>
      </c>
      <c r="L10" s="2" t="n">
        <v>2.304247990273208</v>
      </c>
      <c r="M10" s="2" t="n">
        <v>2.709823544914209</v>
      </c>
      <c r="N10" s="2" t="n">
        <v>3905</v>
      </c>
      <c r="O10" s="2" t="n">
        <v>2276</v>
      </c>
      <c r="P10" s="2" t="n">
        <v>4297</v>
      </c>
      <c r="Q10" s="2" t="n">
        <v>2249</v>
      </c>
      <c r="R10" s="2" t="n">
        <v>9.69</v>
      </c>
      <c r="S10" s="2" t="n">
        <v>15.82317702953934</v>
      </c>
      <c r="T10" s="2" t="n">
        <v>2.27</v>
      </c>
      <c r="U10" s="2" t="n">
        <v>2.7</v>
      </c>
      <c r="V10" s="2" t="n">
        <v>1.6</v>
      </c>
      <c r="W10" s="2" t="n">
        <v>2.35</v>
      </c>
      <c r="X10" s="2" t="n">
        <v>3072</v>
      </c>
      <c r="Y10" s="2" t="n">
        <v>1962</v>
      </c>
      <c r="Z10" s="2" t="n">
        <v>3355</v>
      </c>
      <c r="AA10" s="2" t="n">
        <v>1952</v>
      </c>
    </row>
    <row r="11">
      <c r="A11" s="2" t="n">
        <v>7</v>
      </c>
      <c r="B11" s="2" t="n">
        <v>18.2</v>
      </c>
      <c r="C11" s="2" t="inlineStr">
        <is>
          <t>Марьинское</t>
        </is>
      </c>
      <c r="D11" s="2" t="n">
        <v>302</v>
      </c>
      <c r="E11" s="2" t="n">
        <v>1536.16</v>
      </c>
      <c r="F11" s="2" t="n">
        <v>332.6599999999999</v>
      </c>
      <c r="G11" s="2" t="n">
        <v>14.63404327248142</v>
      </c>
      <c r="H11" s="2" t="n">
        <v>11.84280473332341</v>
      </c>
      <c r="J11" s="2" t="n">
        <v>1.86</v>
      </c>
      <c r="K11" s="2" t="n">
        <v>2.37</v>
      </c>
      <c r="L11" s="2" t="n">
        <v>2.304784495436105</v>
      </c>
      <c r="M11" s="2" t="n">
        <v>2.699887149151032</v>
      </c>
      <c r="N11" s="2" t="n">
        <v>4051</v>
      </c>
      <c r="O11" s="2" t="n">
        <v>2440</v>
      </c>
      <c r="P11" s="2" t="n">
        <v>4296</v>
      </c>
      <c r="Q11" s="2" t="n">
        <v>2468</v>
      </c>
      <c r="R11" s="2" t="n">
        <v>10.07</v>
      </c>
      <c r="S11" s="2" t="n">
        <v>16.17647058823529</v>
      </c>
      <c r="T11" s="2" t="n">
        <v>2.26</v>
      </c>
      <c r="U11" s="2" t="n">
        <v>2.7</v>
      </c>
      <c r="V11" s="2" t="n">
        <v>1.68</v>
      </c>
      <c r="W11" s="2" t="n">
        <v>2.27</v>
      </c>
      <c r="X11" s="2" t="n">
        <v>3150</v>
      </c>
      <c r="Y11" s="2" t="n">
        <v>1957</v>
      </c>
      <c r="Z11" s="2" t="n">
        <v>3416</v>
      </c>
      <c r="AA11" s="2" t="n">
        <v>1940</v>
      </c>
      <c r="AB11" s="2" t="n">
        <v>6.14</v>
      </c>
    </row>
    <row r="12">
      <c r="A12" s="2" t="n">
        <v>13</v>
      </c>
      <c r="B12" s="2" t="n">
        <v>22.3</v>
      </c>
      <c r="C12" s="2" t="inlineStr">
        <is>
          <t>Марьинское</t>
        </is>
      </c>
      <c r="D12" s="2" t="n">
        <v>302</v>
      </c>
      <c r="E12" s="2" t="n">
        <v>1536.96</v>
      </c>
      <c r="F12" s="2" t="n">
        <v>365.2449999999999</v>
      </c>
      <c r="G12" s="2" t="n">
        <v>13.8277271749265</v>
      </c>
      <c r="H12" s="2" t="n">
        <v>8.916444079573445</v>
      </c>
      <c r="J12" s="2" t="n">
        <v>1.95</v>
      </c>
      <c r="K12" s="2" t="n">
        <v>2.35</v>
      </c>
      <c r="L12" s="2" t="n">
        <v>2.32781052858065</v>
      </c>
      <c r="M12" s="2" t="n">
        <v>2.701345168539326</v>
      </c>
      <c r="N12" s="2" t="n">
        <v>4552</v>
      </c>
      <c r="O12" s="2" t="n">
        <v>2689</v>
      </c>
      <c r="P12" s="2" t="n">
        <v>4921</v>
      </c>
      <c r="Q12" s="2" t="n">
        <v>2530</v>
      </c>
      <c r="R12" s="2" t="n">
        <v>13.32</v>
      </c>
      <c r="S12" s="2" t="n">
        <v>14.48275862068965</v>
      </c>
      <c r="T12" s="2" t="n">
        <v>2.3</v>
      </c>
      <c r="U12" s="2" t="n">
        <v>2.69</v>
      </c>
      <c r="V12" s="2" t="n">
        <v>1.76</v>
      </c>
      <c r="W12" s="2" t="n">
        <v>2.36</v>
      </c>
      <c r="X12" s="2" t="n">
        <v>3535</v>
      </c>
      <c r="Y12" s="2" t="n">
        <v>2356</v>
      </c>
      <c r="Z12" s="2" t="n">
        <v>4245</v>
      </c>
      <c r="AA12" s="2" t="n">
        <v>2225</v>
      </c>
      <c r="AB12" s="2" t="n">
        <v>7.1</v>
      </c>
    </row>
    <row r="13">
      <c r="A13" s="2" t="n">
        <v>14</v>
      </c>
      <c r="B13" s="2" t="n">
        <v>24.2</v>
      </c>
      <c r="C13" s="2" t="inlineStr">
        <is>
          <t>Марьинское</t>
        </is>
      </c>
      <c r="D13" s="2" t="n">
        <v>302</v>
      </c>
      <c r="E13" s="2" t="n">
        <v>1537.44</v>
      </c>
      <c r="F13" s="2" t="n">
        <v>390.985</v>
      </c>
      <c r="G13" s="2" t="n">
        <v>13.61656461082004</v>
      </c>
      <c r="H13" s="2" t="n">
        <v>8.277723564380317</v>
      </c>
      <c r="J13" s="2" t="n">
        <v>1.91</v>
      </c>
      <c r="K13" s="2" t="n">
        <v>2.38</v>
      </c>
      <c r="L13" s="2" t="n">
        <v>2.331014260463354</v>
      </c>
      <c r="M13" s="2" t="n">
        <v>2.698450518854135</v>
      </c>
      <c r="N13" s="2" t="n">
        <v>4391</v>
      </c>
      <c r="O13" s="2" t="n">
        <v>2577</v>
      </c>
      <c r="P13" s="2" t="n">
        <v>4550</v>
      </c>
      <c r="Q13" s="2" t="n">
        <v>2398</v>
      </c>
      <c r="R13" s="2" t="n">
        <v>12.15</v>
      </c>
      <c r="S13" s="2" t="n">
        <v>14.32300163132137</v>
      </c>
      <c r="T13" s="2" t="n">
        <v>2.3</v>
      </c>
      <c r="U13" s="2" t="n">
        <v>2.69</v>
      </c>
      <c r="V13" s="2" t="n">
        <v>1.74</v>
      </c>
      <c r="W13" s="2" t="n">
        <v>2.35</v>
      </c>
      <c r="X13" s="2" t="n">
        <v>3474</v>
      </c>
      <c r="Y13" s="2" t="n">
        <v>2178</v>
      </c>
      <c r="Z13" s="2" t="n">
        <v>3955</v>
      </c>
      <c r="AA13" s="2" t="n">
        <v>2179</v>
      </c>
      <c r="AB13" s="2" t="n">
        <v>7.77</v>
      </c>
    </row>
    <row r="14">
      <c r="A14" s="2" t="n">
        <v>12</v>
      </c>
      <c r="B14" s="2" t="n">
        <v>22.1</v>
      </c>
      <c r="C14" s="2" t="inlineStr">
        <is>
          <t>Марьинское</t>
        </is>
      </c>
      <c r="D14" s="2" t="n">
        <v>302</v>
      </c>
      <c r="E14" s="2" t="n">
        <v>1536.86</v>
      </c>
      <c r="F14" s="2" t="n">
        <v>425.9499999999999</v>
      </c>
      <c r="G14" s="2" t="n">
        <v>13.41438200388706</v>
      </c>
      <c r="H14" s="2" t="n">
        <v>7.709086677714385</v>
      </c>
      <c r="J14" s="2" t="n">
        <v>1.94</v>
      </c>
      <c r="K14" s="2" t="n">
        <v>2.43</v>
      </c>
      <c r="L14" s="2" t="n">
        <v>2.340254335690361</v>
      </c>
      <c r="M14" s="2" t="n">
        <v>2.702821080280816</v>
      </c>
      <c r="N14" s="2" t="n">
        <v>4369</v>
      </c>
      <c r="O14" s="2" t="n">
        <v>2615</v>
      </c>
      <c r="P14" s="2" t="n">
        <v>4678</v>
      </c>
      <c r="Q14" s="2" t="n">
        <v>2521</v>
      </c>
      <c r="R14" s="2" t="n">
        <v>12.51</v>
      </c>
      <c r="S14" s="2" t="n">
        <v>14.08787826978972</v>
      </c>
      <c r="T14" s="2" t="n">
        <v>2.31</v>
      </c>
      <c r="U14" s="2" t="n">
        <v>2.69</v>
      </c>
      <c r="V14" s="2" t="n">
        <v>1.7</v>
      </c>
      <c r="W14" s="2" t="n">
        <v>2.39</v>
      </c>
      <c r="X14" s="2" t="n">
        <v>3354</v>
      </c>
      <c r="Y14" s="2" t="n">
        <v>2190</v>
      </c>
      <c r="Z14" s="2" t="n">
        <v>3753</v>
      </c>
      <c r="AA14" s="2" t="n">
        <v>2138</v>
      </c>
      <c r="AB14" s="2" t="n">
        <v>7.76</v>
      </c>
    </row>
    <row r="15">
      <c r="A15" s="2" t="n">
        <v>10</v>
      </c>
      <c r="B15" s="2" t="n">
        <v>19.1</v>
      </c>
      <c r="C15" s="2" t="inlineStr">
        <is>
          <t>Марьинское</t>
        </is>
      </c>
      <c r="D15" s="2" t="n">
        <v>302</v>
      </c>
      <c r="E15" s="2" t="n">
        <v>1536.26</v>
      </c>
      <c r="F15" s="2" t="n">
        <v>466.5499999999999</v>
      </c>
      <c r="G15" s="2" t="n">
        <v>13.41369813535597</v>
      </c>
      <c r="H15" s="2" t="n">
        <v>7.707231156428092</v>
      </c>
      <c r="J15" s="2" t="n">
        <v>1.76</v>
      </c>
      <c r="K15" s="2" t="n">
        <v>2.32</v>
      </c>
      <c r="L15" s="2" t="n">
        <v>2.336961844778546</v>
      </c>
      <c r="M15" s="2" t="n">
        <v>2.698997179059339</v>
      </c>
      <c r="N15" s="2" t="n">
        <v>4243</v>
      </c>
      <c r="O15" s="2" t="n">
        <v>2588</v>
      </c>
      <c r="P15" s="2" t="n">
        <v>4700</v>
      </c>
      <c r="Q15" s="2" t="n">
        <v>2553</v>
      </c>
      <c r="R15" s="2" t="n">
        <v>11.52</v>
      </c>
      <c r="S15" s="2" t="n">
        <v>14.39740655987797</v>
      </c>
      <c r="T15" s="2" t="n">
        <v>2.3</v>
      </c>
      <c r="U15" s="2" t="n">
        <v>2.69</v>
      </c>
      <c r="V15" s="2" t="n">
        <v>1.59</v>
      </c>
      <c r="W15" s="2" t="n">
        <v>2.36</v>
      </c>
      <c r="X15" s="2" t="n">
        <v>3249</v>
      </c>
      <c r="Y15" s="2" t="n">
        <v>2109</v>
      </c>
      <c r="Z15" s="2" t="n">
        <v>3811</v>
      </c>
      <c r="AA15" s="2" t="n">
        <v>2109</v>
      </c>
      <c r="AB15" s="2" t="n">
        <v>6.75</v>
      </c>
    </row>
    <row r="16">
      <c r="A16" s="2" t="n">
        <v>11</v>
      </c>
      <c r="B16" s="2" t="n">
        <v>20.2</v>
      </c>
      <c r="C16" s="2" t="inlineStr">
        <is>
          <t>Марьинское</t>
        </is>
      </c>
      <c r="D16" s="2" t="n">
        <v>302</v>
      </c>
      <c r="E16" s="2" t="n">
        <v>1536.57</v>
      </c>
      <c r="F16" s="2" t="n">
        <v>507.6699999999999</v>
      </c>
      <c r="G16" s="2" t="n">
        <v>13.34436952396335</v>
      </c>
      <c r="H16" s="2" t="n">
        <v>7.52142284506731</v>
      </c>
      <c r="J16" s="2" t="n">
        <v>1.91</v>
      </c>
      <c r="K16" s="2" t="n">
        <v>2.34</v>
      </c>
      <c r="L16" s="2" t="n">
        <v>2.343993075463318</v>
      </c>
      <c r="M16" s="2" t="n">
        <v>2.704951845121611</v>
      </c>
      <c r="N16" s="2" t="n">
        <v>4482</v>
      </c>
      <c r="O16" s="2" t="n">
        <v>2596</v>
      </c>
      <c r="P16" s="2" t="n">
        <v>4829</v>
      </c>
      <c r="Q16" s="2" t="n">
        <v>2449</v>
      </c>
      <c r="R16" s="2" t="n">
        <v>13.72</v>
      </c>
      <c r="S16" s="2" t="n">
        <v>14.69721767594111</v>
      </c>
      <c r="T16" s="2" t="n">
        <v>2.3</v>
      </c>
      <c r="U16" s="2" t="n">
        <v>2.7</v>
      </c>
      <c r="V16" s="2" t="n">
        <v>1.57</v>
      </c>
      <c r="W16" s="2" t="n">
        <v>2.37</v>
      </c>
      <c r="X16" s="2" t="n">
        <v>3043</v>
      </c>
      <c r="Y16" s="2" t="n">
        <v>1817</v>
      </c>
      <c r="Z16" s="2" t="n">
        <v>3707</v>
      </c>
      <c r="AA16" s="2" t="n">
        <v>1915</v>
      </c>
      <c r="AB16" s="2" t="n">
        <v>6.77</v>
      </c>
    </row>
    <row r="17">
      <c r="A17" s="2" t="n">
        <v>17</v>
      </c>
      <c r="B17" s="2" t="n">
        <v>25</v>
      </c>
      <c r="C17" s="2" t="inlineStr">
        <is>
          <t>Марьинское</t>
        </is>
      </c>
      <c r="D17" s="2" t="n">
        <v>302</v>
      </c>
      <c r="E17" s="2" t="n">
        <v>1537.54</v>
      </c>
      <c r="F17" s="2" t="n">
        <v>553.29</v>
      </c>
      <c r="G17" s="2" t="n">
        <v>13.33580980683507</v>
      </c>
      <c r="H17" s="2" t="n">
        <v>7.498794750952421</v>
      </c>
      <c r="J17" s="2" t="n">
        <v>1.83</v>
      </c>
      <c r="K17" s="2" t="n">
        <v>2.45</v>
      </c>
      <c r="L17" s="2" t="n">
        <v>2.33921353640416</v>
      </c>
      <c r="M17" s="2" t="n">
        <v>2.69916966995285</v>
      </c>
      <c r="N17" s="2" t="n">
        <v>4285</v>
      </c>
      <c r="O17" s="2" t="n">
        <v>2487</v>
      </c>
      <c r="P17" s="2" t="n">
        <v>4587</v>
      </c>
      <c r="Q17" s="2" t="n">
        <v>2506</v>
      </c>
      <c r="R17" s="2" t="n">
        <v>12.29</v>
      </c>
      <c r="S17" s="2" t="n">
        <v>14.62200090538705</v>
      </c>
      <c r="T17" s="2" t="n">
        <v>2.3</v>
      </c>
      <c r="U17" s="2" t="n">
        <v>2.69</v>
      </c>
      <c r="V17" s="2" t="n">
        <v>1.62</v>
      </c>
      <c r="W17" s="2" t="n">
        <v>2.39</v>
      </c>
      <c r="X17" s="2" t="n">
        <v>2870</v>
      </c>
      <c r="Y17" s="2" t="n">
        <v>1696</v>
      </c>
      <c r="Z17" s="2" t="n">
        <v>3334</v>
      </c>
      <c r="AA17" s="2" t="n">
        <v>1688</v>
      </c>
    </row>
    <row r="18">
      <c r="A18" s="2" t="n">
        <v>15</v>
      </c>
      <c r="B18" s="2" t="n">
        <v>21</v>
      </c>
      <c r="C18" s="2" t="inlineStr">
        <is>
          <t>Марьинское</t>
        </is>
      </c>
      <c r="D18" s="2" t="n">
        <v>302</v>
      </c>
      <c r="E18" s="2" t="n">
        <v>1536.68</v>
      </c>
      <c r="F18" s="2" t="n">
        <v>600.355</v>
      </c>
      <c r="G18" s="2" t="n">
        <v>13.01172909572453</v>
      </c>
      <c r="H18" s="2" t="n">
        <v>6.690348044960923</v>
      </c>
      <c r="J18" s="2" t="n">
        <v>1.94</v>
      </c>
      <c r="K18" s="2" t="n">
        <v>2.37</v>
      </c>
      <c r="L18" s="2" t="n">
        <v>2.352736072644722</v>
      </c>
      <c r="M18" s="2" t="n">
        <v>2.704658970901657</v>
      </c>
      <c r="N18" s="2" t="n">
        <v>4619</v>
      </c>
      <c r="O18" s="2" t="n">
        <v>2809</v>
      </c>
      <c r="P18" s="2" t="n">
        <v>4713</v>
      </c>
      <c r="Q18" s="2" t="n">
        <v>2750</v>
      </c>
      <c r="S18" s="2" t="n">
        <v>14.1234264660731</v>
      </c>
      <c r="T18" s="2" t="n">
        <v>2.32</v>
      </c>
      <c r="U18" s="2" t="n">
        <v>2.7</v>
      </c>
      <c r="V18" s="2" t="n">
        <v>1.62</v>
      </c>
      <c r="W18" s="2" t="n">
        <v>2.42</v>
      </c>
      <c r="X18" s="2" t="n">
        <v>3266</v>
      </c>
      <c r="Y18" s="2" t="n">
        <v>1940</v>
      </c>
      <c r="Z18" s="2" t="n">
        <v>3867</v>
      </c>
      <c r="AA18" s="2" t="n">
        <v>2028</v>
      </c>
      <c r="AB18" s="2" t="n">
        <v>7.68</v>
      </c>
    </row>
    <row r="19">
      <c r="A19" s="2" t="n">
        <v>18</v>
      </c>
      <c r="B19" s="2" t="n">
        <v>11.2</v>
      </c>
      <c r="C19" s="2" t="inlineStr">
        <is>
          <t>Марьинское</t>
        </is>
      </c>
      <c r="D19" s="2" t="n">
        <v>302</v>
      </c>
      <c r="E19" s="2" t="n">
        <v>1535.12</v>
      </c>
      <c r="F19" s="2" t="n">
        <v>649.75</v>
      </c>
      <c r="G19" s="2" t="n">
        <v>12.91514143094839</v>
      </c>
      <c r="H19" s="2" t="n">
        <v>6.466707161334075</v>
      </c>
      <c r="J19" s="2" t="n">
        <v>1.93</v>
      </c>
      <c r="K19" s="2" t="n">
        <v>2.34</v>
      </c>
      <c r="L19" s="2" t="n">
        <v>2.345946768718802</v>
      </c>
      <c r="M19" s="2" t="n">
        <v>2.69386298291872</v>
      </c>
      <c r="N19" s="2" t="n">
        <v>4684</v>
      </c>
      <c r="O19" s="2" t="n">
        <v>2699</v>
      </c>
      <c r="P19" s="2" t="n">
        <v>5134</v>
      </c>
      <c r="Q19" s="2" t="n">
        <v>2733</v>
      </c>
      <c r="R19" s="2" t="n">
        <v>20.93</v>
      </c>
      <c r="S19" s="2" t="n">
        <v>13.93728222996517</v>
      </c>
      <c r="T19" s="2" t="n">
        <v>2.31</v>
      </c>
      <c r="U19" s="2" t="n">
        <v>2.69</v>
      </c>
      <c r="V19" s="2" t="n">
        <v>1.82</v>
      </c>
      <c r="W19" s="2" t="n">
        <v>2.34</v>
      </c>
      <c r="X19" s="2" t="n">
        <v>3558</v>
      </c>
      <c r="Y19" s="2" t="n">
        <v>2185</v>
      </c>
      <c r="Z19" s="2" t="n">
        <v>4171</v>
      </c>
      <c r="AA19" s="2" t="n">
        <v>2184</v>
      </c>
      <c r="AB19" s="2" t="n">
        <v>12.41</v>
      </c>
    </row>
    <row r="20">
      <c r="A20" s="2" t="n">
        <v>16</v>
      </c>
      <c r="B20" s="2" t="n">
        <v>22.2</v>
      </c>
      <c r="C20" s="2" t="inlineStr">
        <is>
          <t>Марьинское</t>
        </is>
      </c>
      <c r="D20" s="2" t="n">
        <v>302</v>
      </c>
      <c r="E20" s="2" t="n">
        <v>1536.91</v>
      </c>
      <c r="F20" s="2" t="n">
        <v>691.74</v>
      </c>
      <c r="G20" s="2" t="n">
        <v>11.87056100869845</v>
      </c>
      <c r="H20" s="2" t="n">
        <v>4.477096487341283</v>
      </c>
      <c r="J20" s="2" t="n">
        <v>1.99</v>
      </c>
      <c r="K20" s="2" t="n">
        <v>2.46</v>
      </c>
      <c r="L20" s="2" t="n">
        <v>2.390246408905913</v>
      </c>
      <c r="M20" s="2" t="n">
        <v>2.712199732874542</v>
      </c>
      <c r="N20" s="2" t="n">
        <v>4508</v>
      </c>
      <c r="O20" s="2" t="n">
        <v>2707</v>
      </c>
      <c r="P20" s="2" t="n">
        <v>4913</v>
      </c>
      <c r="Q20" s="2" t="n">
        <v>2642</v>
      </c>
      <c r="R20" s="2" t="n">
        <v>14.41</v>
      </c>
      <c r="S20" s="2" t="n">
        <v>12.20271800679502</v>
      </c>
      <c r="T20" s="2" t="n">
        <v>2.38</v>
      </c>
      <c r="U20" s="2" t="n">
        <v>2.71</v>
      </c>
      <c r="V20" s="2" t="n">
        <v>1.93</v>
      </c>
      <c r="W20" s="2" t="n">
        <v>2.34</v>
      </c>
      <c r="X20" s="2" t="n">
        <v>4404</v>
      </c>
      <c r="Y20" s="2" t="n">
        <v>2561</v>
      </c>
      <c r="Z20" s="2" t="n">
        <v>4875</v>
      </c>
      <c r="AA20" s="2" t="n">
        <v>2561</v>
      </c>
    </row>
    <row r="23">
      <c r="A23" s="2" t="inlineStr">
        <is>
          <t xml:space="preserve">before </t>
        </is>
      </c>
      <c r="B23" s="2" t="inlineStr">
        <is>
          <t>до трубы горения</t>
        </is>
      </c>
      <c r="G23" s="2" t="inlineStr">
        <is>
          <t>Максимальные температуры по зонам</t>
        </is>
      </c>
    </row>
    <row r="24">
      <c r="A24" s="2" t="inlineStr">
        <is>
          <t>dried</t>
        </is>
      </c>
      <c r="B24" s="2" t="inlineStr">
        <is>
          <t>высушенные</t>
        </is>
      </c>
      <c r="H24" s="2" t="inlineStr">
        <is>
          <t>Температура, оС</t>
        </is>
      </c>
      <c r="I24" s="2" t="inlineStr">
        <is>
          <t>Время, ч</t>
        </is>
      </c>
      <c r="J24" s="2" t="inlineStr">
        <is>
          <t>Расстояние, м</t>
        </is>
      </c>
      <c r="K24" s="2" t="inlineStr">
        <is>
          <t>Расстояние, мм</t>
        </is>
      </c>
    </row>
    <row r="25">
      <c r="A25" s="2" t="inlineStr">
        <is>
          <t>brine</t>
        </is>
      </c>
      <c r="B25" s="2" t="inlineStr">
        <is>
          <t>водонасыщенные 20 г/л</t>
        </is>
      </c>
      <c r="G25" s="2" t="inlineStr">
        <is>
          <t>Ign</t>
        </is>
      </c>
      <c r="H25" s="2" t="n">
        <v>397.354</v>
      </c>
      <c r="I25" s="2" t="n">
        <v>3.573</v>
      </c>
      <c r="K25" s="2" t="n">
        <v>80</v>
      </c>
    </row>
    <row r="26">
      <c r="A26" s="2" t="inlineStr">
        <is>
          <t xml:space="preserve">after </t>
        </is>
      </c>
      <c r="B26" s="2" t="inlineStr">
        <is>
          <t>эсктрагированные и высушенные после ТГ (или насыщенные)</t>
        </is>
      </c>
      <c r="G26" s="2" t="inlineStr">
        <is>
          <t>Зона 1</t>
        </is>
      </c>
      <c r="H26" s="2" t="n">
        <v>480.922</v>
      </c>
      <c r="I26" s="2" t="n">
        <v>3.405</v>
      </c>
      <c r="K26" s="2" t="n">
        <v>156</v>
      </c>
    </row>
    <row r="27">
      <c r="G27" s="2" t="inlineStr">
        <is>
          <t>Зона 2</t>
        </is>
      </c>
      <c r="H27" s="2" t="n">
        <v>467.527</v>
      </c>
      <c r="I27" s="2" t="n">
        <v>2.952</v>
      </c>
      <c r="K27" s="2" t="n">
        <v>232</v>
      </c>
    </row>
    <row r="28">
      <c r="A28" s="2" t="inlineStr">
        <is>
          <t>Для УЭС</t>
        </is>
      </c>
      <c r="G28" s="2" t="inlineStr">
        <is>
          <t>Зона 3</t>
        </is>
      </c>
      <c r="H28" s="2" t="n">
        <v>439.504</v>
      </c>
      <c r="I28" s="2" t="n">
        <v>4.059</v>
      </c>
      <c r="K28" s="2" t="n">
        <v>308</v>
      </c>
    </row>
    <row r="29">
      <c r="A29" s="2" t="inlineStr">
        <is>
          <t>Плотность жидкости(20 г/л)</t>
        </is>
      </c>
      <c r="B29" s="2" t="inlineStr">
        <is>
          <t>УЭС жидкости</t>
        </is>
      </c>
      <c r="C29" s="2" t="inlineStr">
        <is>
          <t>Температура жидкости,</t>
        </is>
      </c>
      <c r="G29" s="2" t="inlineStr">
        <is>
          <t>Зона 4</t>
        </is>
      </c>
      <c r="H29" s="2" t="n">
        <v>410.893</v>
      </c>
      <c r="I29" s="2" t="n">
        <v>4.747</v>
      </c>
      <c r="K29" s="2" t="n">
        <v>384</v>
      </c>
    </row>
    <row r="30">
      <c r="A30" s="2" t="n">
        <v>1.01</v>
      </c>
      <c r="B30" s="2" t="n">
        <v>0.32</v>
      </c>
      <c r="C30" s="2" t="n">
        <v>23</v>
      </c>
      <c r="D30" s="2" t="inlineStr">
        <is>
          <t>before</t>
        </is>
      </c>
      <c r="G30" s="2" t="inlineStr">
        <is>
          <t>Зона 5</t>
        </is>
      </c>
      <c r="H30" s="2" t="n">
        <v>401.076</v>
      </c>
      <c r="I30" s="2" t="n">
        <v>4.982</v>
      </c>
      <c r="K30" s="2" t="n">
        <v>460</v>
      </c>
    </row>
    <row r="31">
      <c r="A31" s="2" t="n">
        <v>1.01</v>
      </c>
      <c r="B31" s="2" t="n">
        <v>0.26</v>
      </c>
      <c r="C31" s="2" t="n">
        <v>24</v>
      </c>
      <c r="D31" s="2" t="inlineStr">
        <is>
          <t>after</t>
        </is>
      </c>
      <c r="G31" s="2" t="inlineStr">
        <is>
          <t>Зона 6</t>
        </is>
      </c>
      <c r="H31" s="2" t="n">
        <v>438.451</v>
      </c>
      <c r="I31" s="2" t="n">
        <v>4.78</v>
      </c>
      <c r="K31" s="2" t="n">
        <v>536</v>
      </c>
    </row>
    <row r="32">
      <c r="G32" s="2" t="inlineStr">
        <is>
          <t>Зона 7</t>
        </is>
      </c>
      <c r="H32" s="2" t="n">
        <v>424.047</v>
      </c>
      <c r="I32" s="2" t="n">
        <v>4.898</v>
      </c>
      <c r="K32" s="2" t="n">
        <v>612</v>
      </c>
    </row>
    <row r="33">
      <c r="G33" s="2" t="inlineStr">
        <is>
          <t>Зона 8</t>
        </is>
      </c>
      <c r="H33" s="2" t="n">
        <v>306.705</v>
      </c>
      <c r="I33" s="2" t="n">
        <v>0.134</v>
      </c>
      <c r="K33" s="2" t="n">
        <v>688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0" customWidth="1" min="4" max="4"/>
    <col width="12" customWidth="1" min="5" max="5"/>
    <col width="14" customWidth="1" min="6" max="6"/>
    <col width="10" customWidth="1" min="7" max="7"/>
    <col width="12" customWidth="1" min="8" max="8"/>
    <col width="10" customWidth="1" min="9" max="9"/>
    <col width="18" customWidth="1" min="10" max="10"/>
    <col width="16" customWidth="1" min="11" max="11"/>
    <col width="22" customWidth="1" min="12" max="12"/>
    <col width="12" customWidth="1" min="13" max="13"/>
    <col width="28" customWidth="1" min="14" max="14"/>
  </cols>
  <sheetData>
    <row r="1">
      <c r="A1" s="3" t="inlineStr">
        <is>
          <t>sample_seq_no</t>
        </is>
      </c>
      <c r="B1" s="3" t="inlineStr">
        <is>
          <t>lab_sample_id</t>
        </is>
      </c>
      <c r="C1" s="3" t="inlineStr">
        <is>
          <t>field</t>
        </is>
      </c>
      <c r="D1" s="3" t="inlineStr">
        <is>
          <t>well</t>
        </is>
      </c>
      <c r="E1" s="3" t="inlineStr">
        <is>
          <t>depth_m</t>
        </is>
      </c>
      <c r="F1" s="3" t="inlineStr">
        <is>
          <t>tg_position_mm</t>
        </is>
      </c>
      <c r="G1" s="3" t="inlineStr">
        <is>
          <t>stage</t>
        </is>
      </c>
      <c r="H1" s="3" t="inlineStr">
        <is>
          <t>phi_pct</t>
        </is>
      </c>
      <c r="I1" s="3" t="inlineStr">
        <is>
          <t>phi_frac</t>
        </is>
      </c>
      <c r="J1" s="3" t="inlineStr">
        <is>
          <t>permeability_md_modeled</t>
        </is>
      </c>
      <c r="K1" s="3" t="inlineStr">
        <is>
          <t>bulk_density_g_cm3</t>
        </is>
      </c>
      <c r="L1" s="3" t="inlineStr">
        <is>
          <t>matrix_density_apparent_g_cm3</t>
        </is>
      </c>
      <c r="M1" s="3" t="inlineStr">
        <is>
          <t>raw_row_index</t>
        </is>
      </c>
      <c r="N1" s="3" t="inlineStr">
        <is>
          <t>notes</t>
        </is>
      </c>
    </row>
    <row r="2">
      <c r="A2" s="2" t="n">
        <v>1</v>
      </c>
      <c r="B2" s="2" t="inlineStr">
        <is>
          <t>15</t>
        </is>
      </c>
      <c r="C2" s="2" t="inlineStr">
        <is>
          <t>Марьинское</t>
        </is>
      </c>
      <c r="D2" s="2" t="n">
        <v>302</v>
      </c>
      <c r="E2" s="4" t="n">
        <v>1535.52</v>
      </c>
      <c r="F2" s="4" t="n">
        <v>18.54</v>
      </c>
      <c r="G2" s="2" t="inlineStr">
        <is>
          <t>before</t>
        </is>
      </c>
      <c r="H2" s="4" t="n">
        <v>20.2354213459779</v>
      </c>
      <c r="I2" s="5">
        <f>H2/100</f>
        <v/>
      </c>
      <c r="J2" s="4" t="n">
        <v>85.06414079678508</v>
      </c>
      <c r="K2" s="4" t="n">
        <v>2.14639402295982</v>
      </c>
      <c r="L2" s="4" t="n">
        <v>2.690911253063566</v>
      </c>
      <c r="M2" s="2" t="n">
        <v>3</v>
      </c>
      <c r="N2" s="2" t="inlineStr"/>
    </row>
    <row r="3">
      <c r="A3" s="2" t="n">
        <v>1</v>
      </c>
      <c r="B3" s="2" t="inlineStr">
        <is>
          <t>15</t>
        </is>
      </c>
      <c r="C3" s="2" t="inlineStr">
        <is>
          <t>Марьинское</t>
        </is>
      </c>
      <c r="D3" s="2" t="n">
        <v>302</v>
      </c>
      <c r="E3" s="4" t="n">
        <v>1535.52</v>
      </c>
      <c r="F3" s="4" t="n">
        <v>18.54</v>
      </c>
      <c r="G3" s="2" t="inlineStr">
        <is>
          <t>after</t>
        </is>
      </c>
      <c r="H3" s="4" t="n">
        <v>21.4458360799824</v>
      </c>
      <c r="I3" s="5">
        <f>H3/100</f>
        <v/>
      </c>
      <c r="J3" s="6" t="n"/>
      <c r="K3" s="4" t="n">
        <v>2.1</v>
      </c>
      <c r="L3" s="4" t="n">
        <v>2.68</v>
      </c>
      <c r="M3" s="2" t="n">
        <v>3</v>
      </c>
      <c r="N3" s="2" t="inlineStr"/>
    </row>
    <row r="4">
      <c r="A4" s="2" t="n">
        <v>5</v>
      </c>
      <c r="B4" s="2" t="inlineStr">
        <is>
          <t>20</t>
        </is>
      </c>
      <c r="C4" s="2" t="inlineStr">
        <is>
          <t>Марьинское</t>
        </is>
      </c>
      <c r="D4" s="2" t="n">
        <v>302</v>
      </c>
      <c r="E4" s="6" t="n"/>
      <c r="F4" s="4" t="n">
        <v>45.08</v>
      </c>
      <c r="G4" s="2" t="inlineStr">
        <is>
          <t>before</t>
        </is>
      </c>
      <c r="H4" s="4" t="n">
        <v>17.51736302502485</v>
      </c>
      <c r="I4" s="5">
        <f>H4/100</f>
        <v/>
      </c>
      <c r="J4" s="4" t="n">
        <v>32.67626719532011</v>
      </c>
      <c r="K4" s="4" t="n">
        <v>2.223834318156762</v>
      </c>
      <c r="L4" s="4" t="n">
        <v>2.696124178027266</v>
      </c>
      <c r="M4" s="2" t="n">
        <v>4</v>
      </c>
      <c r="N4" s="2" t="inlineStr"/>
    </row>
    <row r="5">
      <c r="A5" s="2" t="n">
        <v>5</v>
      </c>
      <c r="B5" s="2" t="inlineStr">
        <is>
          <t>20</t>
        </is>
      </c>
      <c r="C5" s="2" t="inlineStr">
        <is>
          <t>Марьинское</t>
        </is>
      </c>
      <c r="D5" s="2" t="n">
        <v>302</v>
      </c>
      <c r="E5" s="6" t="n"/>
      <c r="F5" s="4" t="n">
        <v>45.08</v>
      </c>
      <c r="G5" s="2" t="inlineStr">
        <is>
          <t>after</t>
        </is>
      </c>
      <c r="H5" s="4" t="n">
        <v>18.86330230279272</v>
      </c>
      <c r="I5" s="5">
        <f>H5/100</f>
        <v/>
      </c>
      <c r="J5" s="6" t="n"/>
      <c r="K5" s="4" t="n">
        <v>2.18</v>
      </c>
      <c r="L5" s="4" t="n">
        <v>2.69</v>
      </c>
      <c r="M5" s="2" t="n">
        <v>4</v>
      </c>
      <c r="N5" s="2" t="inlineStr"/>
    </row>
    <row r="6">
      <c r="A6" s="2" t="n">
        <v>2</v>
      </c>
      <c r="B6" s="2" t="inlineStr">
        <is>
          <t>16.2</t>
        </is>
      </c>
      <c r="C6" s="2" t="inlineStr">
        <is>
          <t>Марьинское</t>
        </is>
      </c>
      <c r="D6" s="2" t="n">
        <v>302</v>
      </c>
      <c r="E6" s="4" t="n">
        <v>1535.69</v>
      </c>
      <c r="F6" s="4" t="n">
        <v>73.27</v>
      </c>
      <c r="G6" s="2" t="inlineStr">
        <is>
          <t>before</t>
        </is>
      </c>
      <c r="H6" s="4" t="n">
        <v>17.43567378979501</v>
      </c>
      <c r="I6" s="5">
        <f>H6/100</f>
        <v/>
      </c>
      <c r="J6" s="4" t="n">
        <v>31.75005411534451</v>
      </c>
      <c r="K6" s="4" t="n">
        <v>2.227197501090275</v>
      </c>
      <c r="L6" s="4" t="n">
        <v>2.69753003908726</v>
      </c>
      <c r="M6" s="2" t="n">
        <v>5</v>
      </c>
      <c r="N6" s="2" t="inlineStr"/>
    </row>
    <row r="7">
      <c r="A7" s="2" t="n">
        <v>2</v>
      </c>
      <c r="B7" s="2" t="inlineStr">
        <is>
          <t>16.2</t>
        </is>
      </c>
      <c r="C7" s="2" t="inlineStr">
        <is>
          <t>Марьинское</t>
        </is>
      </c>
      <c r="D7" s="2" t="n">
        <v>302</v>
      </c>
      <c r="E7" s="4" t="n">
        <v>1535.69</v>
      </c>
      <c r="F7" s="4" t="n">
        <v>73.27</v>
      </c>
      <c r="G7" s="2" t="inlineStr">
        <is>
          <t>after</t>
        </is>
      </c>
      <c r="H7" s="4" t="n">
        <v>18.74328678839957</v>
      </c>
      <c r="I7" s="5">
        <f>H7/100</f>
        <v/>
      </c>
      <c r="J7" s="6" t="n"/>
      <c r="K7" s="4" t="n">
        <v>2.19</v>
      </c>
      <c r="L7" s="4" t="n">
        <v>2.7</v>
      </c>
      <c r="M7" s="2" t="n">
        <v>5</v>
      </c>
      <c r="N7" s="2" t="inlineStr"/>
    </row>
    <row r="8">
      <c r="A8" s="2" t="n">
        <v>3</v>
      </c>
      <c r="B8" s="2" t="inlineStr">
        <is>
          <t>18.1</t>
        </is>
      </c>
      <c r="C8" s="2" t="inlineStr">
        <is>
          <t>Марьинское</t>
        </is>
      </c>
      <c r="D8" s="2" t="n">
        <v>302</v>
      </c>
      <c r="E8" s="4" t="n">
        <v>1536</v>
      </c>
      <c r="F8" s="4" t="n">
        <v>117.86</v>
      </c>
      <c r="G8" s="2" t="inlineStr">
        <is>
          <t>before</t>
        </is>
      </c>
      <c r="H8" s="4" t="n">
        <v>16.71596565904337</v>
      </c>
      <c r="I8" s="5">
        <f>H8/100</f>
        <v/>
      </c>
      <c r="J8" s="4" t="n">
        <v>24.64458418260929</v>
      </c>
      <c r="K8" s="4" t="n">
        <v>2.248010240963855</v>
      </c>
      <c r="L8" s="4" t="n">
        <v>2.699209108627859</v>
      </c>
      <c r="M8" s="2" t="n">
        <v>6</v>
      </c>
      <c r="N8" s="2" t="inlineStr"/>
    </row>
    <row r="9">
      <c r="A9" s="2" t="n">
        <v>3</v>
      </c>
      <c r="B9" s="2" t="inlineStr">
        <is>
          <t>18.1</t>
        </is>
      </c>
      <c r="C9" s="2" t="inlineStr">
        <is>
          <t>Марьинское</t>
        </is>
      </c>
      <c r="D9" s="2" t="n">
        <v>302</v>
      </c>
      <c r="E9" s="4" t="n">
        <v>1536</v>
      </c>
      <c r="F9" s="4" t="n">
        <v>117.86</v>
      </c>
      <c r="G9" s="2" t="inlineStr">
        <is>
          <t>after</t>
        </is>
      </c>
      <c r="H9" s="4" t="n">
        <v>18.87813211845101</v>
      </c>
      <c r="I9" s="5">
        <f>H9/100</f>
        <v/>
      </c>
      <c r="J9" s="6" t="n"/>
      <c r="K9" s="4" t="n">
        <v>2.19</v>
      </c>
      <c r="L9" s="4" t="n">
        <v>2.7</v>
      </c>
      <c r="M9" s="2" t="n">
        <v>6</v>
      </c>
      <c r="N9" s="2" t="inlineStr"/>
    </row>
    <row r="10">
      <c r="A10" s="2" t="n">
        <v>4</v>
      </c>
      <c r="B10" s="2" t="inlineStr">
        <is>
          <t>19.2</t>
        </is>
      </c>
      <c r="C10" s="2" t="inlineStr">
        <is>
          <t>Марьинское</t>
        </is>
      </c>
      <c r="D10" s="2" t="n">
        <v>302</v>
      </c>
      <c r="E10" s="4" t="n">
        <v>1536.32</v>
      </c>
      <c r="F10" s="4" t="n">
        <v>165.36</v>
      </c>
      <c r="G10" s="2" t="inlineStr">
        <is>
          <t>before</t>
        </is>
      </c>
      <c r="H10" s="4" t="n">
        <v>15.91996355076315</v>
      </c>
      <c r="I10" s="5">
        <f>H10/100</f>
        <v/>
      </c>
      <c r="J10" s="4" t="n">
        <v>18.62238637609469</v>
      </c>
      <c r="K10" s="4" t="n">
        <v>2.275712977447035</v>
      </c>
      <c r="L10" s="4" t="n">
        <v>2.70660322420411</v>
      </c>
      <c r="M10" s="2" t="n">
        <v>7</v>
      </c>
      <c r="N10" s="2" t="inlineStr"/>
    </row>
    <row r="11">
      <c r="A11" s="2" t="n">
        <v>4</v>
      </c>
      <c r="B11" s="2" t="inlineStr">
        <is>
          <t>19.2</t>
        </is>
      </c>
      <c r="C11" s="2" t="inlineStr">
        <is>
          <t>Марьинское</t>
        </is>
      </c>
      <c r="D11" s="2" t="n">
        <v>302</v>
      </c>
      <c r="E11" s="4" t="n">
        <v>1536.32</v>
      </c>
      <c r="F11" s="4" t="n">
        <v>165.36</v>
      </c>
      <c r="G11" s="2" t="inlineStr">
        <is>
          <t>after</t>
        </is>
      </c>
      <c r="H11" s="4" t="n">
        <v>17.64793560888359</v>
      </c>
      <c r="I11" s="5">
        <f>H11/100</f>
        <v/>
      </c>
      <c r="J11" s="6" t="n"/>
      <c r="K11" s="4" t="n">
        <v>2.22</v>
      </c>
      <c r="L11" s="4" t="n">
        <v>2.7</v>
      </c>
      <c r="M11" s="2" t="n">
        <v>7</v>
      </c>
      <c r="N11" s="2" t="inlineStr"/>
    </row>
    <row r="12">
      <c r="A12" s="2" t="n">
        <v>6</v>
      </c>
      <c r="B12" s="2" t="inlineStr">
        <is>
          <t>12</t>
        </is>
      </c>
      <c r="C12" s="2" t="inlineStr">
        <is>
          <t>Марьинское</t>
        </is>
      </c>
      <c r="D12" s="2" t="n">
        <v>302</v>
      </c>
      <c r="E12" s="4" t="n">
        <v>1535.2</v>
      </c>
      <c r="F12" s="4" t="n">
        <v>208.44</v>
      </c>
      <c r="G12" s="2" t="inlineStr">
        <is>
          <t>before</t>
        </is>
      </c>
      <c r="H12" s="4" t="n">
        <v>15.5954465849387</v>
      </c>
      <c r="I12" s="5">
        <f>H12/100</f>
        <v/>
      </c>
      <c r="J12" s="4" t="n">
        <v>16.61215163302828</v>
      </c>
      <c r="K12" s="4" t="n">
        <v>2.271307184763573</v>
      </c>
      <c r="L12" s="4" t="n">
        <v>2.690977077497666</v>
      </c>
      <c r="M12" s="2" t="n">
        <v>8</v>
      </c>
      <c r="N12" s="2" t="inlineStr"/>
    </row>
    <row r="13">
      <c r="A13" s="2" t="n">
        <v>6</v>
      </c>
      <c r="B13" s="2" t="inlineStr">
        <is>
          <t>12</t>
        </is>
      </c>
      <c r="C13" s="2" t="inlineStr">
        <is>
          <t>Марьинское</t>
        </is>
      </c>
      <c r="D13" s="2" t="n">
        <v>302</v>
      </c>
      <c r="E13" s="4" t="n">
        <v>1535.2</v>
      </c>
      <c r="F13" s="4" t="n">
        <v>208.44</v>
      </c>
      <c r="G13" s="2" t="inlineStr">
        <is>
          <t>after</t>
        </is>
      </c>
      <c r="H13" s="4" t="n">
        <v>17.85913398996469</v>
      </c>
      <c r="I13" s="5">
        <f>H13/100</f>
        <v/>
      </c>
      <c r="J13" s="6" t="n"/>
      <c r="K13" s="4" t="n">
        <v>2.2</v>
      </c>
      <c r="L13" s="4" t="n">
        <v>2.68</v>
      </c>
      <c r="M13" s="2" t="n">
        <v>8</v>
      </c>
      <c r="N13" s="2" t="inlineStr"/>
    </row>
    <row r="14">
      <c r="A14" s="2" t="n">
        <v>9</v>
      </c>
      <c r="B14" s="2" t="inlineStr">
        <is>
          <t>23</t>
        </is>
      </c>
      <c r="C14" s="2" t="inlineStr">
        <is>
          <t>Марьинское</t>
        </is>
      </c>
      <c r="D14" s="2" t="n">
        <v>302</v>
      </c>
      <c r="E14" s="4" t="n">
        <v>1537.19</v>
      </c>
      <c r="F14" s="4" t="n">
        <v>251.8</v>
      </c>
      <c r="G14" s="2" t="inlineStr">
        <is>
          <t>before</t>
        </is>
      </c>
      <c r="H14" s="4" t="n">
        <v>15.38029013757164</v>
      </c>
      <c r="I14" s="5">
        <f>H14/100</f>
        <v/>
      </c>
      <c r="J14" s="4" t="n">
        <v>15.40049087905547</v>
      </c>
      <c r="K14" s="4" t="n">
        <v>2.286143786782623</v>
      </c>
      <c r="L14" s="4" t="n">
        <v>2.701668193496943</v>
      </c>
      <c r="M14" s="2" t="n">
        <v>9</v>
      </c>
      <c r="N14" s="2" t="inlineStr"/>
    </row>
    <row r="15">
      <c r="A15" s="2" t="n">
        <v>9</v>
      </c>
      <c r="B15" s="2" t="inlineStr">
        <is>
          <t>23</t>
        </is>
      </c>
      <c r="C15" s="2" t="inlineStr">
        <is>
          <t>Марьинское</t>
        </is>
      </c>
      <c r="D15" s="2" t="n">
        <v>302</v>
      </c>
      <c r="E15" s="4" t="n">
        <v>1537.19</v>
      </c>
      <c r="F15" s="4" t="n">
        <v>251.8</v>
      </c>
      <c r="G15" s="2" t="inlineStr">
        <is>
          <t>after</t>
        </is>
      </c>
      <c r="H15" s="4" t="n">
        <v>17.16230211569759</v>
      </c>
      <c r="I15" s="5">
        <f>H15/100</f>
        <v/>
      </c>
      <c r="J15" s="6" t="n"/>
      <c r="K15" s="4" t="n">
        <v>2.23</v>
      </c>
      <c r="L15" s="4" t="n">
        <v>2.69</v>
      </c>
      <c r="M15" s="2" t="n">
        <v>9</v>
      </c>
      <c r="N15" s="2" t="inlineStr"/>
    </row>
    <row r="16">
      <c r="A16" s="2" t="n">
        <v>8</v>
      </c>
      <c r="B16" s="2" t="inlineStr">
        <is>
          <t>20.1</t>
        </is>
      </c>
      <c r="C16" s="2" t="inlineStr">
        <is>
          <t>Марьинское</t>
        </is>
      </c>
      <c r="D16" s="2" t="n">
        <v>302</v>
      </c>
      <c r="E16" s="4" t="n">
        <v>1536.49</v>
      </c>
      <c r="F16" s="4" t="n">
        <v>293.5849999999999</v>
      </c>
      <c r="G16" s="2" t="inlineStr">
        <is>
          <t>before</t>
        </is>
      </c>
      <c r="H16" s="4" t="n">
        <v>14.96686215610547</v>
      </c>
      <c r="I16" s="5">
        <f>H16/100</f>
        <v/>
      </c>
      <c r="J16" s="4" t="n">
        <v>13.31475388026422</v>
      </c>
      <c r="K16" s="4" t="n">
        <v>2.304247990273208</v>
      </c>
      <c r="L16" s="4" t="n">
        <v>2.709823544914209</v>
      </c>
      <c r="M16" s="2" t="n">
        <v>10</v>
      </c>
      <c r="N16" s="2" t="inlineStr"/>
    </row>
    <row r="17">
      <c r="A17" s="2" t="n">
        <v>8</v>
      </c>
      <c r="B17" s="2" t="inlineStr">
        <is>
          <t>20.1</t>
        </is>
      </c>
      <c r="C17" s="2" t="inlineStr">
        <is>
          <t>Марьинское</t>
        </is>
      </c>
      <c r="D17" s="2" t="n">
        <v>302</v>
      </c>
      <c r="E17" s="4" t="n">
        <v>1536.49</v>
      </c>
      <c r="F17" s="4" t="n">
        <v>293.5849999999999</v>
      </c>
      <c r="G17" s="2" t="inlineStr">
        <is>
          <t>after</t>
        </is>
      </c>
      <c r="H17" s="4" t="n">
        <v>15.82317702953934</v>
      </c>
      <c r="I17" s="5">
        <f>H17/100</f>
        <v/>
      </c>
      <c r="J17" s="6" t="n"/>
      <c r="K17" s="4" t="n">
        <v>2.27</v>
      </c>
      <c r="L17" s="4" t="n">
        <v>2.7</v>
      </c>
      <c r="M17" s="2" t="n">
        <v>10</v>
      </c>
      <c r="N17" s="2" t="inlineStr"/>
    </row>
    <row r="18">
      <c r="A18" s="2" t="n">
        <v>7</v>
      </c>
      <c r="B18" s="2" t="inlineStr">
        <is>
          <t>18.2</t>
        </is>
      </c>
      <c r="C18" s="2" t="inlineStr">
        <is>
          <t>Марьинское</t>
        </is>
      </c>
      <c r="D18" s="2" t="n">
        <v>302</v>
      </c>
      <c r="E18" s="4" t="n">
        <v>1536.16</v>
      </c>
      <c r="F18" s="4" t="n">
        <v>332.6599999999999</v>
      </c>
      <c r="G18" s="2" t="inlineStr">
        <is>
          <t>before</t>
        </is>
      </c>
      <c r="H18" s="4" t="n">
        <v>14.63404327248142</v>
      </c>
      <c r="I18" s="5">
        <f>H18/100</f>
        <v/>
      </c>
      <c r="J18" s="4" t="n">
        <v>11.84280473332341</v>
      </c>
      <c r="K18" s="4" t="n">
        <v>2.304784495436105</v>
      </c>
      <c r="L18" s="4" t="n">
        <v>2.699887149151032</v>
      </c>
      <c r="M18" s="2" t="n">
        <v>11</v>
      </c>
      <c r="N18" s="2" t="inlineStr"/>
    </row>
    <row r="19">
      <c r="A19" s="2" t="n">
        <v>7</v>
      </c>
      <c r="B19" s="2" t="inlineStr">
        <is>
          <t>18.2</t>
        </is>
      </c>
      <c r="C19" s="2" t="inlineStr">
        <is>
          <t>Марьинское</t>
        </is>
      </c>
      <c r="D19" s="2" t="n">
        <v>302</v>
      </c>
      <c r="E19" s="4" t="n">
        <v>1536.16</v>
      </c>
      <c r="F19" s="4" t="n">
        <v>332.6599999999999</v>
      </c>
      <c r="G19" s="2" t="inlineStr">
        <is>
          <t>after</t>
        </is>
      </c>
      <c r="H19" s="4" t="n">
        <v>16.17647058823529</v>
      </c>
      <c r="I19" s="5">
        <f>H19/100</f>
        <v/>
      </c>
      <c r="J19" s="6" t="n"/>
      <c r="K19" s="4" t="n">
        <v>2.26</v>
      </c>
      <c r="L19" s="4" t="n">
        <v>2.7</v>
      </c>
      <c r="M19" s="2" t="n">
        <v>11</v>
      </c>
      <c r="N19" s="2" t="inlineStr"/>
    </row>
    <row r="20">
      <c r="A20" s="2" t="n">
        <v>13</v>
      </c>
      <c r="B20" s="2" t="inlineStr">
        <is>
          <t>22.3</t>
        </is>
      </c>
      <c r="C20" s="2" t="inlineStr">
        <is>
          <t>Марьинское</t>
        </is>
      </c>
      <c r="D20" s="2" t="n">
        <v>302</v>
      </c>
      <c r="E20" s="4" t="n">
        <v>1536.96</v>
      </c>
      <c r="F20" s="4" t="n">
        <v>365.2449999999999</v>
      </c>
      <c r="G20" s="2" t="inlineStr">
        <is>
          <t>before</t>
        </is>
      </c>
      <c r="H20" s="4" t="n">
        <v>13.8277271749265</v>
      </c>
      <c r="I20" s="5">
        <f>H20/100</f>
        <v/>
      </c>
      <c r="J20" s="4" t="n">
        <v>8.916444079573445</v>
      </c>
      <c r="K20" s="4" t="n">
        <v>2.32781052858065</v>
      </c>
      <c r="L20" s="4" t="n">
        <v>2.701345168539326</v>
      </c>
      <c r="M20" s="2" t="n">
        <v>12</v>
      </c>
      <c r="N20" s="2" t="inlineStr"/>
    </row>
    <row r="21">
      <c r="A21" s="2" t="n">
        <v>13</v>
      </c>
      <c r="B21" s="2" t="inlineStr">
        <is>
          <t>22.3</t>
        </is>
      </c>
      <c r="C21" s="2" t="inlineStr">
        <is>
          <t>Марьинское</t>
        </is>
      </c>
      <c r="D21" s="2" t="n">
        <v>302</v>
      </c>
      <c r="E21" s="4" t="n">
        <v>1536.96</v>
      </c>
      <c r="F21" s="4" t="n">
        <v>365.2449999999999</v>
      </c>
      <c r="G21" s="2" t="inlineStr">
        <is>
          <t>after</t>
        </is>
      </c>
      <c r="H21" s="4" t="n">
        <v>14.48275862068965</v>
      </c>
      <c r="I21" s="5">
        <f>H21/100</f>
        <v/>
      </c>
      <c r="J21" s="6" t="n"/>
      <c r="K21" s="4" t="n">
        <v>2.3</v>
      </c>
      <c r="L21" s="4" t="n">
        <v>2.69</v>
      </c>
      <c r="M21" s="2" t="n">
        <v>12</v>
      </c>
      <c r="N21" s="2" t="inlineStr"/>
    </row>
    <row r="22">
      <c r="A22" s="2" t="n">
        <v>14</v>
      </c>
      <c r="B22" s="2" t="inlineStr">
        <is>
          <t>24.2</t>
        </is>
      </c>
      <c r="C22" s="2" t="inlineStr">
        <is>
          <t>Марьинское</t>
        </is>
      </c>
      <c r="D22" s="2" t="n">
        <v>302</v>
      </c>
      <c r="E22" s="4" t="n">
        <v>1537.44</v>
      </c>
      <c r="F22" s="4" t="n">
        <v>390.985</v>
      </c>
      <c r="G22" s="2" t="inlineStr">
        <is>
          <t>before</t>
        </is>
      </c>
      <c r="H22" s="4" t="n">
        <v>13.61656461082004</v>
      </c>
      <c r="I22" s="5">
        <f>H22/100</f>
        <v/>
      </c>
      <c r="J22" s="4" t="n">
        <v>8.277723564380317</v>
      </c>
      <c r="K22" s="4" t="n">
        <v>2.331014260463354</v>
      </c>
      <c r="L22" s="4" t="n">
        <v>2.698450518854135</v>
      </c>
      <c r="M22" s="2" t="n">
        <v>13</v>
      </c>
      <c r="N22" s="2" t="inlineStr"/>
    </row>
    <row r="23">
      <c r="A23" s="2" t="n">
        <v>14</v>
      </c>
      <c r="B23" s="2" t="inlineStr">
        <is>
          <t>24.2</t>
        </is>
      </c>
      <c r="C23" s="2" t="inlineStr">
        <is>
          <t>Марьинское</t>
        </is>
      </c>
      <c r="D23" s="2" t="n">
        <v>302</v>
      </c>
      <c r="E23" s="4" t="n">
        <v>1537.44</v>
      </c>
      <c r="F23" s="4" t="n">
        <v>390.985</v>
      </c>
      <c r="G23" s="2" t="inlineStr">
        <is>
          <t>after</t>
        </is>
      </c>
      <c r="H23" s="4" t="n">
        <v>14.32300163132137</v>
      </c>
      <c r="I23" s="5">
        <f>H23/100</f>
        <v/>
      </c>
      <c r="J23" s="6" t="n"/>
      <c r="K23" s="4" t="n">
        <v>2.3</v>
      </c>
      <c r="L23" s="4" t="n">
        <v>2.69</v>
      </c>
      <c r="M23" s="2" t="n">
        <v>13</v>
      </c>
      <c r="N23" s="2" t="inlineStr"/>
    </row>
    <row r="24">
      <c r="A24" s="2" t="n">
        <v>12</v>
      </c>
      <c r="B24" s="2" t="inlineStr">
        <is>
          <t>22.1</t>
        </is>
      </c>
      <c r="C24" s="2" t="inlineStr">
        <is>
          <t>Марьинское</t>
        </is>
      </c>
      <c r="D24" s="2" t="n">
        <v>302</v>
      </c>
      <c r="E24" s="4" t="n">
        <v>1536.86</v>
      </c>
      <c r="F24" s="4" t="n">
        <v>425.9499999999999</v>
      </c>
      <c r="G24" s="2" t="inlineStr">
        <is>
          <t>before</t>
        </is>
      </c>
      <c r="H24" s="4" t="n">
        <v>13.41438200388706</v>
      </c>
      <c r="I24" s="5">
        <f>H24/100</f>
        <v/>
      </c>
      <c r="J24" s="4" t="n">
        <v>7.709086677714385</v>
      </c>
      <c r="K24" s="4" t="n">
        <v>2.340254335690361</v>
      </c>
      <c r="L24" s="4" t="n">
        <v>2.702821080280816</v>
      </c>
      <c r="M24" s="2" t="n">
        <v>14</v>
      </c>
      <c r="N24" s="2" t="inlineStr"/>
    </row>
    <row r="25">
      <c r="A25" s="2" t="n">
        <v>12</v>
      </c>
      <c r="B25" s="2" t="inlineStr">
        <is>
          <t>22.1</t>
        </is>
      </c>
      <c r="C25" s="2" t="inlineStr">
        <is>
          <t>Марьинское</t>
        </is>
      </c>
      <c r="D25" s="2" t="n">
        <v>302</v>
      </c>
      <c r="E25" s="4" t="n">
        <v>1536.86</v>
      </c>
      <c r="F25" s="4" t="n">
        <v>425.9499999999999</v>
      </c>
      <c r="G25" s="2" t="inlineStr">
        <is>
          <t>after</t>
        </is>
      </c>
      <c r="H25" s="4" t="n">
        <v>14.08787826978972</v>
      </c>
      <c r="I25" s="5">
        <f>H25/100</f>
        <v/>
      </c>
      <c r="J25" s="6" t="n"/>
      <c r="K25" s="4" t="n">
        <v>2.31</v>
      </c>
      <c r="L25" s="4" t="n">
        <v>2.69</v>
      </c>
      <c r="M25" s="2" t="n">
        <v>14</v>
      </c>
      <c r="N25" s="2" t="inlineStr"/>
    </row>
    <row r="26">
      <c r="A26" s="2" t="n">
        <v>10</v>
      </c>
      <c r="B26" s="2" t="inlineStr">
        <is>
          <t>19.1</t>
        </is>
      </c>
      <c r="C26" s="2" t="inlineStr">
        <is>
          <t>Марьинское</t>
        </is>
      </c>
      <c r="D26" s="2" t="n">
        <v>302</v>
      </c>
      <c r="E26" s="4" t="n">
        <v>1536.26</v>
      </c>
      <c r="F26" s="4" t="n">
        <v>466.5499999999999</v>
      </c>
      <c r="G26" s="2" t="inlineStr">
        <is>
          <t>before</t>
        </is>
      </c>
      <c r="H26" s="4" t="n">
        <v>13.41369813535597</v>
      </c>
      <c r="I26" s="5">
        <f>H26/100</f>
        <v/>
      </c>
      <c r="J26" s="4" t="n">
        <v>7.707231156428092</v>
      </c>
      <c r="K26" s="4" t="n">
        <v>2.336961844778546</v>
      </c>
      <c r="L26" s="4" t="n">
        <v>2.698997179059339</v>
      </c>
      <c r="M26" s="2" t="n">
        <v>15</v>
      </c>
      <c r="N26" s="2" t="inlineStr"/>
    </row>
    <row r="27">
      <c r="A27" s="2" t="n">
        <v>10</v>
      </c>
      <c r="B27" s="2" t="inlineStr">
        <is>
          <t>19.1</t>
        </is>
      </c>
      <c r="C27" s="2" t="inlineStr">
        <is>
          <t>Марьинское</t>
        </is>
      </c>
      <c r="D27" s="2" t="n">
        <v>302</v>
      </c>
      <c r="E27" s="4" t="n">
        <v>1536.26</v>
      </c>
      <c r="F27" s="4" t="n">
        <v>466.5499999999999</v>
      </c>
      <c r="G27" s="2" t="inlineStr">
        <is>
          <t>after</t>
        </is>
      </c>
      <c r="H27" s="4" t="n">
        <v>14.39740655987797</v>
      </c>
      <c r="I27" s="5">
        <f>H27/100</f>
        <v/>
      </c>
      <c r="J27" s="6" t="n"/>
      <c r="K27" s="4" t="n">
        <v>2.3</v>
      </c>
      <c r="L27" s="4" t="n">
        <v>2.69</v>
      </c>
      <c r="M27" s="2" t="n">
        <v>15</v>
      </c>
      <c r="N27" s="2" t="inlineStr"/>
    </row>
    <row r="28">
      <c r="A28" s="2" t="n">
        <v>11</v>
      </c>
      <c r="B28" s="2" t="inlineStr">
        <is>
          <t>20.2</t>
        </is>
      </c>
      <c r="C28" s="2" t="inlineStr">
        <is>
          <t>Марьинское</t>
        </is>
      </c>
      <c r="D28" s="2" t="n">
        <v>302</v>
      </c>
      <c r="E28" s="4" t="n">
        <v>1536.57</v>
      </c>
      <c r="F28" s="4" t="n">
        <v>507.6699999999999</v>
      </c>
      <c r="G28" s="2" t="inlineStr">
        <is>
          <t>before</t>
        </is>
      </c>
      <c r="H28" s="4" t="n">
        <v>13.34436952396335</v>
      </c>
      <c r="I28" s="5">
        <f>H28/100</f>
        <v/>
      </c>
      <c r="J28" s="4" t="n">
        <v>7.52142284506731</v>
      </c>
      <c r="K28" s="4" t="n">
        <v>2.343993075463318</v>
      </c>
      <c r="L28" s="4" t="n">
        <v>2.704951845121611</v>
      </c>
      <c r="M28" s="2" t="n">
        <v>16</v>
      </c>
      <c r="N28" s="2" t="inlineStr"/>
    </row>
    <row r="29">
      <c r="A29" s="2" t="n">
        <v>11</v>
      </c>
      <c r="B29" s="2" t="inlineStr">
        <is>
          <t>20.2</t>
        </is>
      </c>
      <c r="C29" s="2" t="inlineStr">
        <is>
          <t>Марьинское</t>
        </is>
      </c>
      <c r="D29" s="2" t="n">
        <v>302</v>
      </c>
      <c r="E29" s="4" t="n">
        <v>1536.57</v>
      </c>
      <c r="F29" s="4" t="n">
        <v>507.6699999999999</v>
      </c>
      <c r="G29" s="2" t="inlineStr">
        <is>
          <t>after</t>
        </is>
      </c>
      <c r="H29" s="4" t="n">
        <v>14.69721767594111</v>
      </c>
      <c r="I29" s="5">
        <f>H29/100</f>
        <v/>
      </c>
      <c r="J29" s="6" t="n"/>
      <c r="K29" s="4" t="n">
        <v>2.3</v>
      </c>
      <c r="L29" s="4" t="n">
        <v>2.7</v>
      </c>
      <c r="M29" s="2" t="n">
        <v>16</v>
      </c>
      <c r="N29" s="2" t="inlineStr"/>
    </row>
    <row r="30">
      <c r="A30" s="2" t="n">
        <v>17</v>
      </c>
      <c r="B30" s="2" t="inlineStr">
        <is>
          <t>25</t>
        </is>
      </c>
      <c r="C30" s="2" t="inlineStr">
        <is>
          <t>Марьинское</t>
        </is>
      </c>
      <c r="D30" s="2" t="n">
        <v>302</v>
      </c>
      <c r="E30" s="4" t="n">
        <v>1537.54</v>
      </c>
      <c r="F30" s="4" t="n">
        <v>553.29</v>
      </c>
      <c r="G30" s="2" t="inlineStr">
        <is>
          <t>before</t>
        </is>
      </c>
      <c r="H30" s="4" t="n">
        <v>13.33580980683507</v>
      </c>
      <c r="I30" s="5">
        <f>H30/100</f>
        <v/>
      </c>
      <c r="J30" s="4" t="n">
        <v>7.498794750952421</v>
      </c>
      <c r="K30" s="4" t="n">
        <v>2.33921353640416</v>
      </c>
      <c r="L30" s="4" t="n">
        <v>2.69916966995285</v>
      </c>
      <c r="M30" s="2" t="n">
        <v>17</v>
      </c>
      <c r="N30" s="2" t="inlineStr"/>
    </row>
    <row r="31">
      <c r="A31" s="2" t="n">
        <v>17</v>
      </c>
      <c r="B31" s="2" t="inlineStr">
        <is>
          <t>25</t>
        </is>
      </c>
      <c r="C31" s="2" t="inlineStr">
        <is>
          <t>Марьинское</t>
        </is>
      </c>
      <c r="D31" s="2" t="n">
        <v>302</v>
      </c>
      <c r="E31" s="4" t="n">
        <v>1537.54</v>
      </c>
      <c r="F31" s="4" t="n">
        <v>553.29</v>
      </c>
      <c r="G31" s="2" t="inlineStr">
        <is>
          <t>after</t>
        </is>
      </c>
      <c r="H31" s="4" t="n">
        <v>14.62200090538705</v>
      </c>
      <c r="I31" s="5">
        <f>H31/100</f>
        <v/>
      </c>
      <c r="J31" s="6" t="n"/>
      <c r="K31" s="4" t="n">
        <v>2.3</v>
      </c>
      <c r="L31" s="4" t="n">
        <v>2.69</v>
      </c>
      <c r="M31" s="2" t="n">
        <v>17</v>
      </c>
      <c r="N31" s="2" t="inlineStr"/>
    </row>
    <row r="32">
      <c r="A32" s="2" t="n">
        <v>15</v>
      </c>
      <c r="B32" s="2" t="inlineStr">
        <is>
          <t>21</t>
        </is>
      </c>
      <c r="C32" s="2" t="inlineStr">
        <is>
          <t>Марьинское</t>
        </is>
      </c>
      <c r="D32" s="2" t="n">
        <v>302</v>
      </c>
      <c r="E32" s="4" t="n">
        <v>1536.68</v>
      </c>
      <c r="F32" s="4" t="n">
        <v>600.355</v>
      </c>
      <c r="G32" s="2" t="inlineStr">
        <is>
          <t>before</t>
        </is>
      </c>
      <c r="H32" s="4" t="n">
        <v>13.01172909572453</v>
      </c>
      <c r="I32" s="5">
        <f>H32/100</f>
        <v/>
      </c>
      <c r="J32" s="4" t="n">
        <v>6.690348044960923</v>
      </c>
      <c r="K32" s="4" t="n">
        <v>2.352736072644722</v>
      </c>
      <c r="L32" s="4" t="n">
        <v>2.704658970901657</v>
      </c>
      <c r="M32" s="2" t="n">
        <v>18</v>
      </c>
      <c r="N32" s="2" t="inlineStr"/>
    </row>
    <row r="33">
      <c r="A33" s="2" t="n">
        <v>15</v>
      </c>
      <c r="B33" s="2" t="inlineStr">
        <is>
          <t>21</t>
        </is>
      </c>
      <c r="C33" s="2" t="inlineStr">
        <is>
          <t>Марьинское</t>
        </is>
      </c>
      <c r="D33" s="2" t="n">
        <v>302</v>
      </c>
      <c r="E33" s="4" t="n">
        <v>1536.68</v>
      </c>
      <c r="F33" s="4" t="n">
        <v>600.355</v>
      </c>
      <c r="G33" s="2" t="inlineStr">
        <is>
          <t>after</t>
        </is>
      </c>
      <c r="H33" s="4" t="n">
        <v>14.1234264660731</v>
      </c>
      <c r="I33" s="5">
        <f>H33/100</f>
        <v/>
      </c>
      <c r="J33" s="6" t="n"/>
      <c r="K33" s="4" t="n">
        <v>2.32</v>
      </c>
      <c r="L33" s="4" t="n">
        <v>2.7</v>
      </c>
      <c r="M33" s="2" t="n">
        <v>18</v>
      </c>
      <c r="N33" s="2" t="inlineStr"/>
    </row>
    <row r="34">
      <c r="A34" s="2" t="n">
        <v>18</v>
      </c>
      <c r="B34" s="2" t="inlineStr">
        <is>
          <t>11.2</t>
        </is>
      </c>
      <c r="C34" s="2" t="inlineStr">
        <is>
          <t>Марьинское</t>
        </is>
      </c>
      <c r="D34" s="2" t="n">
        <v>302</v>
      </c>
      <c r="E34" s="4" t="n">
        <v>1535.12</v>
      </c>
      <c r="F34" s="4" t="n">
        <v>649.75</v>
      </c>
      <c r="G34" s="2" t="inlineStr">
        <is>
          <t>before</t>
        </is>
      </c>
      <c r="H34" s="4" t="n">
        <v>12.91514143094839</v>
      </c>
      <c r="I34" s="5">
        <f>H34/100</f>
        <v/>
      </c>
      <c r="J34" s="4" t="n">
        <v>6.466707161334075</v>
      </c>
      <c r="K34" s="4" t="n">
        <v>2.345946768718802</v>
      </c>
      <c r="L34" s="4" t="n">
        <v>2.69386298291872</v>
      </c>
      <c r="M34" s="2" t="n">
        <v>19</v>
      </c>
      <c r="N34" s="2" t="inlineStr"/>
    </row>
    <row r="35">
      <c r="A35" s="2" t="n">
        <v>18</v>
      </c>
      <c r="B35" s="2" t="inlineStr">
        <is>
          <t>11.2</t>
        </is>
      </c>
      <c r="C35" s="2" t="inlineStr">
        <is>
          <t>Марьинское</t>
        </is>
      </c>
      <c r="D35" s="2" t="n">
        <v>302</v>
      </c>
      <c r="E35" s="4" t="n">
        <v>1535.12</v>
      </c>
      <c r="F35" s="4" t="n">
        <v>649.75</v>
      </c>
      <c r="G35" s="2" t="inlineStr">
        <is>
          <t>after</t>
        </is>
      </c>
      <c r="H35" s="4" t="n">
        <v>13.93728222996517</v>
      </c>
      <c r="I35" s="5">
        <f>H35/100</f>
        <v/>
      </c>
      <c r="J35" s="6" t="n"/>
      <c r="K35" s="4" t="n">
        <v>2.31</v>
      </c>
      <c r="L35" s="4" t="n">
        <v>2.69</v>
      </c>
      <c r="M35" s="2" t="n">
        <v>19</v>
      </c>
      <c r="N35" s="2" t="inlineStr"/>
    </row>
    <row r="36">
      <c r="A36" s="2" t="n">
        <v>16</v>
      </c>
      <c r="B36" s="2" t="inlineStr">
        <is>
          <t>22.2</t>
        </is>
      </c>
      <c r="C36" s="2" t="inlineStr">
        <is>
          <t>Марьинское</t>
        </is>
      </c>
      <c r="D36" s="2" t="n">
        <v>302</v>
      </c>
      <c r="E36" s="4" t="n">
        <v>1536.91</v>
      </c>
      <c r="F36" s="4" t="n">
        <v>691.74</v>
      </c>
      <c r="G36" s="2" t="inlineStr">
        <is>
          <t>before</t>
        </is>
      </c>
      <c r="H36" s="4" t="n">
        <v>11.87056100869845</v>
      </c>
      <c r="I36" s="5">
        <f>H36/100</f>
        <v/>
      </c>
      <c r="J36" s="4" t="n">
        <v>4.477096487341283</v>
      </c>
      <c r="K36" s="4" t="n">
        <v>2.390246408905913</v>
      </c>
      <c r="L36" s="4" t="n">
        <v>2.712199732874542</v>
      </c>
      <c r="M36" s="2" t="n">
        <v>20</v>
      </c>
      <c r="N36" s="2" t="inlineStr"/>
    </row>
    <row r="37">
      <c r="A37" s="2" t="n">
        <v>16</v>
      </c>
      <c r="B37" s="2" t="inlineStr">
        <is>
          <t>22.2</t>
        </is>
      </c>
      <c r="C37" s="2" t="inlineStr">
        <is>
          <t>Марьинское</t>
        </is>
      </c>
      <c r="D37" s="2" t="n">
        <v>302</v>
      </c>
      <c r="E37" s="4" t="n">
        <v>1536.91</v>
      </c>
      <c r="F37" s="4" t="n">
        <v>691.74</v>
      </c>
      <c r="G37" s="2" t="inlineStr">
        <is>
          <t>after</t>
        </is>
      </c>
      <c r="H37" s="4" t="n">
        <v>12.20271800679502</v>
      </c>
      <c r="I37" s="5">
        <f>H37/100</f>
        <v/>
      </c>
      <c r="J37" s="6" t="n"/>
      <c r="K37" s="4" t="n">
        <v>2.38</v>
      </c>
      <c r="L37" s="4" t="n">
        <v>2.71</v>
      </c>
      <c r="M37" s="2" t="n">
        <v>20</v>
      </c>
      <c r="N37" s="2" t="inlineStr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7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0" customWidth="1" min="4" max="4"/>
    <col width="12" customWidth="1" min="5" max="5"/>
    <col width="14" customWidth="1" min="6" max="6"/>
    <col width="10" customWidth="1" min="7" max="7"/>
    <col width="10" customWidth="1" min="8" max="8"/>
    <col width="12" customWidth="1" min="9" max="9"/>
    <col width="10" customWidth="1" min="10" max="10"/>
    <col width="18" customWidth="1" min="11" max="11"/>
    <col width="16" customWidth="1" min="12" max="12"/>
    <col width="22" customWidth="1" min="13" max="13"/>
    <col width="10" customWidth="1" min="14" max="14"/>
    <col width="10" customWidth="1" min="15" max="15"/>
    <col width="10" customWidth="1" min="16" max="16"/>
    <col width="16" customWidth="1" min="17" max="17"/>
    <col width="12" customWidth="1" min="18" max="18"/>
    <col width="18" customWidth="1" min="19" max="19"/>
  </cols>
  <sheetData>
    <row r="1">
      <c r="A1" s="3" t="inlineStr">
        <is>
          <t>sample_seq_no</t>
        </is>
      </c>
      <c r="B1" s="3" t="inlineStr">
        <is>
          <t>lab_sample_id</t>
        </is>
      </c>
      <c r="C1" s="3" t="inlineStr">
        <is>
          <t>field</t>
        </is>
      </c>
      <c r="D1" s="3" t="inlineStr">
        <is>
          <t>well</t>
        </is>
      </c>
      <c r="E1" s="3" t="inlineStr">
        <is>
          <t>depth_m</t>
        </is>
      </c>
      <c r="F1" s="3" t="inlineStr">
        <is>
          <t>tg_position_mm</t>
        </is>
      </c>
      <c r="G1" s="3" t="inlineStr">
        <is>
          <t>stage</t>
        </is>
      </c>
      <c r="H1" s="3" t="inlineStr">
        <is>
          <t>fluid_state</t>
        </is>
      </c>
      <c r="I1" s="3" t="inlineStr">
        <is>
          <t>phi_pct</t>
        </is>
      </c>
      <c r="J1" s="3" t="inlineStr">
        <is>
          <t>phi_frac</t>
        </is>
      </c>
      <c r="K1" s="3" t="inlineStr">
        <is>
          <t>permeability_md_modeled</t>
        </is>
      </c>
      <c r="L1" s="3" t="inlineStr">
        <is>
          <t>bulk_density_g_cm3</t>
        </is>
      </c>
      <c r="M1" s="3" t="inlineStr">
        <is>
          <t>matrix_density_apparent_g_cm3</t>
        </is>
      </c>
      <c r="N1" s="3" t="inlineStr">
        <is>
          <t>tc_w_mk</t>
        </is>
      </c>
      <c r="O1" s="3" t="inlineStr">
        <is>
          <t>vp_m_s</t>
        </is>
      </c>
      <c r="P1" s="3" t="inlineStr">
        <is>
          <t>vs_m_s</t>
        </is>
      </c>
      <c r="Q1" s="3" t="inlineStr">
        <is>
          <t>resistivity_ohm_m</t>
        </is>
      </c>
      <c r="R1" s="3" t="inlineStr">
        <is>
          <t>raw_row_index</t>
        </is>
      </c>
      <c r="S1" s="3" t="inlineStr">
        <is>
          <t>notes</t>
        </is>
      </c>
    </row>
    <row r="2">
      <c r="A2" s="2" t="n">
        <v>1</v>
      </c>
      <c r="B2" s="2" t="inlineStr">
        <is>
          <t>15</t>
        </is>
      </c>
      <c r="C2" s="2" t="inlineStr">
        <is>
          <t>Марьинское</t>
        </is>
      </c>
      <c r="D2" s="2" t="n">
        <v>302</v>
      </c>
      <c r="E2" s="4" t="n">
        <v>1535.52</v>
      </c>
      <c r="F2" s="4" t="n">
        <v>18.54</v>
      </c>
      <c r="G2" s="2" t="inlineStr">
        <is>
          <t>before</t>
        </is>
      </c>
      <c r="H2" s="2" t="inlineStr">
        <is>
          <t>dry</t>
        </is>
      </c>
      <c r="I2" s="4" t="n">
        <v>20.2354213459779</v>
      </c>
      <c r="J2" s="5">
        <f>I2/100</f>
        <v/>
      </c>
      <c r="K2" s="4" t="n">
        <v>85.06414079678508</v>
      </c>
      <c r="L2" s="4" t="n">
        <v>2.14639402295982</v>
      </c>
      <c r="M2" s="4" t="n">
        <v>2.690911253063566</v>
      </c>
      <c r="N2" s="4" t="n">
        <v>1.37</v>
      </c>
      <c r="O2" s="7" t="n">
        <v>3177</v>
      </c>
      <c r="P2" s="7" t="n">
        <v>1938</v>
      </c>
      <c r="Q2" s="6" t="n"/>
      <c r="R2" s="2" t="n">
        <v>3</v>
      </c>
      <c r="S2" s="2" t="inlineStr"/>
    </row>
    <row r="3">
      <c r="A3" s="2" t="n">
        <v>1</v>
      </c>
      <c r="B3" s="2" t="inlineStr">
        <is>
          <t>15</t>
        </is>
      </c>
      <c r="C3" s="2" t="inlineStr">
        <is>
          <t>Марьинское</t>
        </is>
      </c>
      <c r="D3" s="2" t="n">
        <v>302</v>
      </c>
      <c r="E3" s="4" t="n">
        <v>1535.52</v>
      </c>
      <c r="F3" s="4" t="n">
        <v>18.54</v>
      </c>
      <c r="G3" s="2" t="inlineStr">
        <is>
          <t>before</t>
        </is>
      </c>
      <c r="H3" s="2" t="inlineStr">
        <is>
          <t>wet</t>
        </is>
      </c>
      <c r="I3" s="4" t="n">
        <v>20.2354213459779</v>
      </c>
      <c r="J3" s="5">
        <f>I3/100</f>
        <v/>
      </c>
      <c r="K3" s="4" t="n">
        <v>85.06414079678508</v>
      </c>
      <c r="L3" s="4" t="n">
        <v>2.14639402295982</v>
      </c>
      <c r="M3" s="4" t="n">
        <v>2.690911253063566</v>
      </c>
      <c r="N3" s="4" t="n">
        <v>2.08</v>
      </c>
      <c r="O3" s="7" t="n">
        <v>3613</v>
      </c>
      <c r="P3" s="7" t="n">
        <v>1967</v>
      </c>
      <c r="Q3" s="6" t="n"/>
      <c r="R3" s="2" t="n">
        <v>3</v>
      </c>
      <c r="S3" s="2" t="inlineStr"/>
    </row>
    <row r="4">
      <c r="A4" s="2" t="n">
        <v>1</v>
      </c>
      <c r="B4" s="2" t="inlineStr">
        <is>
          <t>15</t>
        </is>
      </c>
      <c r="C4" s="2" t="inlineStr">
        <is>
          <t>Марьинское</t>
        </is>
      </c>
      <c r="D4" s="2" t="n">
        <v>302</v>
      </c>
      <c r="E4" s="4" t="n">
        <v>1535.52</v>
      </c>
      <c r="F4" s="4" t="n">
        <v>18.54</v>
      </c>
      <c r="G4" s="2" t="inlineStr">
        <is>
          <t>after</t>
        </is>
      </c>
      <c r="H4" s="2" t="inlineStr">
        <is>
          <t>dry</t>
        </is>
      </c>
      <c r="I4" s="4" t="n">
        <v>21.4458360799824</v>
      </c>
      <c r="J4" s="5">
        <f>I4/100</f>
        <v/>
      </c>
      <c r="K4" s="6" t="n"/>
      <c r="L4" s="4" t="n">
        <v>2.1</v>
      </c>
      <c r="M4" s="4" t="n">
        <v>2.68</v>
      </c>
      <c r="N4" s="4" t="n">
        <v>1.12</v>
      </c>
      <c r="O4" s="7" t="n">
        <v>2557</v>
      </c>
      <c r="P4" s="7" t="n">
        <v>1693</v>
      </c>
      <c r="Q4" s="6" t="n"/>
      <c r="R4" s="2" t="n">
        <v>3</v>
      </c>
      <c r="S4" s="2" t="inlineStr"/>
    </row>
    <row r="5">
      <c r="A5" s="2" t="n">
        <v>1</v>
      </c>
      <c r="B5" s="2" t="inlineStr">
        <is>
          <t>15</t>
        </is>
      </c>
      <c r="C5" s="2" t="inlineStr">
        <is>
          <t>Марьинское</t>
        </is>
      </c>
      <c r="D5" s="2" t="n">
        <v>302</v>
      </c>
      <c r="E5" s="4" t="n">
        <v>1535.52</v>
      </c>
      <c r="F5" s="4" t="n">
        <v>18.54</v>
      </c>
      <c r="G5" s="2" t="inlineStr">
        <is>
          <t>after</t>
        </is>
      </c>
      <c r="H5" s="2" t="inlineStr">
        <is>
          <t>wet</t>
        </is>
      </c>
      <c r="I5" s="4" t="n">
        <v>21.4458360799824</v>
      </c>
      <c r="J5" s="5">
        <f>I5/100</f>
        <v/>
      </c>
      <c r="K5" s="6" t="n"/>
      <c r="L5" s="4" t="n">
        <v>2.1</v>
      </c>
      <c r="M5" s="4" t="n">
        <v>2.68</v>
      </c>
      <c r="N5" s="4" t="n">
        <v>2.06</v>
      </c>
      <c r="O5" s="7" t="n">
        <v>2769</v>
      </c>
      <c r="P5" s="7" t="n">
        <v>1654</v>
      </c>
      <c r="Q5" s="6" t="n"/>
      <c r="R5" s="2" t="n">
        <v>3</v>
      </c>
      <c r="S5" s="2" t="inlineStr"/>
    </row>
    <row r="6">
      <c r="A6" s="2" t="n">
        <v>5</v>
      </c>
      <c r="B6" s="2" t="inlineStr">
        <is>
          <t>20</t>
        </is>
      </c>
      <c r="C6" s="2" t="inlineStr">
        <is>
          <t>Марьинское</t>
        </is>
      </c>
      <c r="D6" s="2" t="n">
        <v>302</v>
      </c>
      <c r="E6" s="6" t="n"/>
      <c r="F6" s="4" t="n">
        <v>45.08</v>
      </c>
      <c r="G6" s="2" t="inlineStr">
        <is>
          <t>before</t>
        </is>
      </c>
      <c r="H6" s="2" t="inlineStr">
        <is>
          <t>dry</t>
        </is>
      </c>
      <c r="I6" s="4" t="n">
        <v>17.51736302502485</v>
      </c>
      <c r="J6" s="5">
        <f>I6/100</f>
        <v/>
      </c>
      <c r="K6" s="4" t="n">
        <v>32.67626719532011</v>
      </c>
      <c r="L6" s="4" t="n">
        <v>2.223834318156762</v>
      </c>
      <c r="M6" s="4" t="n">
        <v>2.696124178027266</v>
      </c>
      <c r="N6" s="4" t="n">
        <v>1.57</v>
      </c>
      <c r="O6" s="7" t="n">
        <v>3870</v>
      </c>
      <c r="P6" s="7" t="n">
        <v>2334</v>
      </c>
      <c r="Q6" s="6" t="n"/>
      <c r="R6" s="2" t="n">
        <v>4</v>
      </c>
      <c r="S6" s="2" t="inlineStr"/>
    </row>
    <row r="7">
      <c r="A7" s="2" t="n">
        <v>5</v>
      </c>
      <c r="B7" s="2" t="inlineStr">
        <is>
          <t>20</t>
        </is>
      </c>
      <c r="C7" s="2" t="inlineStr">
        <is>
          <t>Марьинское</t>
        </is>
      </c>
      <c r="D7" s="2" t="n">
        <v>302</v>
      </c>
      <c r="E7" s="6" t="n"/>
      <c r="F7" s="4" t="n">
        <v>45.08</v>
      </c>
      <c r="G7" s="2" t="inlineStr">
        <is>
          <t>before</t>
        </is>
      </c>
      <c r="H7" s="2" t="inlineStr">
        <is>
          <t>wet</t>
        </is>
      </c>
      <c r="I7" s="4" t="n">
        <v>17.51736302502485</v>
      </c>
      <c r="J7" s="5">
        <f>I7/100</f>
        <v/>
      </c>
      <c r="K7" s="4" t="n">
        <v>32.67626719532011</v>
      </c>
      <c r="L7" s="4" t="n">
        <v>2.223834318156762</v>
      </c>
      <c r="M7" s="4" t="n">
        <v>2.696124178027266</v>
      </c>
      <c r="N7" s="4" t="n">
        <v>2.05</v>
      </c>
      <c r="O7" s="7" t="n">
        <v>4108</v>
      </c>
      <c r="P7" s="7" t="n">
        <v>2268</v>
      </c>
      <c r="Q7" s="4" t="n">
        <v>7.66</v>
      </c>
      <c r="R7" s="2" t="n">
        <v>4</v>
      </c>
      <c r="S7" s="2" t="inlineStr"/>
    </row>
    <row r="8">
      <c r="A8" s="2" t="n">
        <v>5</v>
      </c>
      <c r="B8" s="2" t="inlineStr">
        <is>
          <t>20</t>
        </is>
      </c>
      <c r="C8" s="2" t="inlineStr">
        <is>
          <t>Марьинское</t>
        </is>
      </c>
      <c r="D8" s="2" t="n">
        <v>302</v>
      </c>
      <c r="E8" s="6" t="n"/>
      <c r="F8" s="4" t="n">
        <v>45.08</v>
      </c>
      <c r="G8" s="2" t="inlineStr">
        <is>
          <t>after</t>
        </is>
      </c>
      <c r="H8" s="2" t="inlineStr">
        <is>
          <t>dry</t>
        </is>
      </c>
      <c r="I8" s="4" t="n">
        <v>18.86330230279272</v>
      </c>
      <c r="J8" s="5">
        <f>I8/100</f>
        <v/>
      </c>
      <c r="K8" s="6" t="n"/>
      <c r="L8" s="4" t="n">
        <v>2.18</v>
      </c>
      <c r="M8" s="4" t="n">
        <v>2.69</v>
      </c>
      <c r="N8" s="4" t="n">
        <v>1.39</v>
      </c>
      <c r="O8" s="7" t="n">
        <v>3011</v>
      </c>
      <c r="P8" s="7" t="n">
        <v>2004</v>
      </c>
      <c r="Q8" s="6" t="n"/>
      <c r="R8" s="2" t="n">
        <v>4</v>
      </c>
      <c r="S8" s="2" t="inlineStr"/>
    </row>
    <row r="9">
      <c r="A9" s="2" t="n">
        <v>5</v>
      </c>
      <c r="B9" s="2" t="inlineStr">
        <is>
          <t>20</t>
        </is>
      </c>
      <c r="C9" s="2" t="inlineStr">
        <is>
          <t>Марьинское</t>
        </is>
      </c>
      <c r="D9" s="2" t="n">
        <v>302</v>
      </c>
      <c r="E9" s="6" t="n"/>
      <c r="F9" s="4" t="n">
        <v>45.08</v>
      </c>
      <c r="G9" s="2" t="inlineStr">
        <is>
          <t>after</t>
        </is>
      </c>
      <c r="H9" s="2" t="inlineStr">
        <is>
          <t>wet</t>
        </is>
      </c>
      <c r="I9" s="4" t="n">
        <v>18.86330230279272</v>
      </c>
      <c r="J9" s="5">
        <f>I9/100</f>
        <v/>
      </c>
      <c r="K9" s="6" t="n"/>
      <c r="L9" s="4" t="n">
        <v>2.18</v>
      </c>
      <c r="M9" s="4" t="n">
        <v>2.69</v>
      </c>
      <c r="N9" s="4" t="n">
        <v>2.15</v>
      </c>
      <c r="O9" s="7" t="n">
        <v>3140</v>
      </c>
      <c r="P9" s="7" t="n">
        <v>1992</v>
      </c>
      <c r="Q9" s="4" t="n">
        <v>4.97</v>
      </c>
      <c r="R9" s="2" t="n">
        <v>4</v>
      </c>
      <c r="S9" s="2" t="inlineStr"/>
    </row>
    <row r="10">
      <c r="A10" s="2" t="n">
        <v>2</v>
      </c>
      <c r="B10" s="2" t="inlineStr">
        <is>
          <t>16.2</t>
        </is>
      </c>
      <c r="C10" s="2" t="inlineStr">
        <is>
          <t>Марьинское</t>
        </is>
      </c>
      <c r="D10" s="2" t="n">
        <v>302</v>
      </c>
      <c r="E10" s="4" t="n">
        <v>1535.69</v>
      </c>
      <c r="F10" s="4" t="n">
        <v>73.27</v>
      </c>
      <c r="G10" s="2" t="inlineStr">
        <is>
          <t>before</t>
        </is>
      </c>
      <c r="H10" s="2" t="inlineStr">
        <is>
          <t>dry</t>
        </is>
      </c>
      <c r="I10" s="4" t="n">
        <v>17.43567378979501</v>
      </c>
      <c r="J10" s="5">
        <f>I10/100</f>
        <v/>
      </c>
      <c r="K10" s="4" t="n">
        <v>31.75005411534451</v>
      </c>
      <c r="L10" s="4" t="n">
        <v>2.227197501090275</v>
      </c>
      <c r="M10" s="4" t="n">
        <v>2.69753003908726</v>
      </c>
      <c r="N10" s="4" t="n">
        <v>1.47</v>
      </c>
      <c r="O10" s="7" t="n">
        <v>3505</v>
      </c>
      <c r="P10" s="7" t="n">
        <v>2072</v>
      </c>
      <c r="Q10" s="6" t="n"/>
      <c r="R10" s="2" t="n">
        <v>5</v>
      </c>
      <c r="S10" s="2" t="inlineStr"/>
    </row>
    <row r="11">
      <c r="A11" s="2" t="n">
        <v>2</v>
      </c>
      <c r="B11" s="2" t="inlineStr">
        <is>
          <t>16.2</t>
        </is>
      </c>
      <c r="C11" s="2" t="inlineStr">
        <is>
          <t>Марьинское</t>
        </is>
      </c>
      <c r="D11" s="2" t="n">
        <v>302</v>
      </c>
      <c r="E11" s="4" t="n">
        <v>1535.69</v>
      </c>
      <c r="F11" s="4" t="n">
        <v>73.27</v>
      </c>
      <c r="G11" s="2" t="inlineStr">
        <is>
          <t>before</t>
        </is>
      </c>
      <c r="H11" s="2" t="inlineStr">
        <is>
          <t>wet</t>
        </is>
      </c>
      <c r="I11" s="4" t="n">
        <v>17.43567378979501</v>
      </c>
      <c r="J11" s="5">
        <f>I11/100</f>
        <v/>
      </c>
      <c r="K11" s="4" t="n">
        <v>31.75005411534451</v>
      </c>
      <c r="L11" s="4" t="n">
        <v>2.227197501090275</v>
      </c>
      <c r="M11" s="4" t="n">
        <v>2.69753003908726</v>
      </c>
      <c r="N11" s="4" t="n">
        <v>2.25</v>
      </c>
      <c r="O11" s="7" t="n">
        <v>3615</v>
      </c>
      <c r="P11" s="7" t="n">
        <v>1955</v>
      </c>
      <c r="Q11" s="6" t="n"/>
      <c r="R11" s="2" t="n">
        <v>5</v>
      </c>
      <c r="S11" s="2" t="inlineStr"/>
    </row>
    <row r="12">
      <c r="A12" s="2" t="n">
        <v>2</v>
      </c>
      <c r="B12" s="2" t="inlineStr">
        <is>
          <t>16.2</t>
        </is>
      </c>
      <c r="C12" s="2" t="inlineStr">
        <is>
          <t>Марьинское</t>
        </is>
      </c>
      <c r="D12" s="2" t="n">
        <v>302</v>
      </c>
      <c r="E12" s="4" t="n">
        <v>1535.69</v>
      </c>
      <c r="F12" s="4" t="n">
        <v>73.27</v>
      </c>
      <c r="G12" s="2" t="inlineStr">
        <is>
          <t>after</t>
        </is>
      </c>
      <c r="H12" s="2" t="inlineStr">
        <is>
          <t>dry</t>
        </is>
      </c>
      <c r="I12" s="4" t="n">
        <v>18.74328678839957</v>
      </c>
      <c r="J12" s="5">
        <f>I12/100</f>
        <v/>
      </c>
      <c r="K12" s="6" t="n"/>
      <c r="L12" s="4" t="n">
        <v>2.19</v>
      </c>
      <c r="M12" s="4" t="n">
        <v>2.7</v>
      </c>
      <c r="N12" s="4" t="n">
        <v>1.33</v>
      </c>
      <c r="O12" s="7" t="n">
        <v>2713</v>
      </c>
      <c r="P12" s="7" t="n">
        <v>1666</v>
      </c>
      <c r="Q12" s="6" t="n"/>
      <c r="R12" s="2" t="n">
        <v>5</v>
      </c>
      <c r="S12" s="2" t="inlineStr"/>
    </row>
    <row r="13">
      <c r="A13" s="2" t="n">
        <v>2</v>
      </c>
      <c r="B13" s="2" t="inlineStr">
        <is>
          <t>16.2</t>
        </is>
      </c>
      <c r="C13" s="2" t="inlineStr">
        <is>
          <t>Марьинское</t>
        </is>
      </c>
      <c r="D13" s="2" t="n">
        <v>302</v>
      </c>
      <c r="E13" s="4" t="n">
        <v>1535.69</v>
      </c>
      <c r="F13" s="4" t="n">
        <v>73.27</v>
      </c>
      <c r="G13" s="2" t="inlineStr">
        <is>
          <t>after</t>
        </is>
      </c>
      <c r="H13" s="2" t="inlineStr">
        <is>
          <t>wet</t>
        </is>
      </c>
      <c r="I13" s="4" t="n">
        <v>18.74328678839957</v>
      </c>
      <c r="J13" s="5">
        <f>I13/100</f>
        <v/>
      </c>
      <c r="K13" s="6" t="n"/>
      <c r="L13" s="4" t="n">
        <v>2.19</v>
      </c>
      <c r="M13" s="4" t="n">
        <v>2.7</v>
      </c>
      <c r="N13" s="4" t="n">
        <v>2.24</v>
      </c>
      <c r="O13" s="7" t="n">
        <v>2955</v>
      </c>
      <c r="P13" s="7" t="n">
        <v>1695</v>
      </c>
      <c r="Q13" s="6" t="n"/>
      <c r="R13" s="2" t="n">
        <v>5</v>
      </c>
      <c r="S13" s="2" t="inlineStr"/>
    </row>
    <row r="14">
      <c r="A14" s="2" t="n">
        <v>3</v>
      </c>
      <c r="B14" s="2" t="inlineStr">
        <is>
          <t>18.1</t>
        </is>
      </c>
      <c r="C14" s="2" t="inlineStr">
        <is>
          <t>Марьинское</t>
        </is>
      </c>
      <c r="D14" s="2" t="n">
        <v>302</v>
      </c>
      <c r="E14" s="4" t="n">
        <v>1536</v>
      </c>
      <c r="F14" s="4" t="n">
        <v>117.86</v>
      </c>
      <c r="G14" s="2" t="inlineStr">
        <is>
          <t>before</t>
        </is>
      </c>
      <c r="H14" s="2" t="inlineStr">
        <is>
          <t>dry</t>
        </is>
      </c>
      <c r="I14" s="4" t="n">
        <v>16.71596565904337</v>
      </c>
      <c r="J14" s="5">
        <f>I14/100</f>
        <v/>
      </c>
      <c r="K14" s="4" t="n">
        <v>24.64458418260929</v>
      </c>
      <c r="L14" s="4" t="n">
        <v>2.248010240963855</v>
      </c>
      <c r="M14" s="4" t="n">
        <v>2.699209108627859</v>
      </c>
      <c r="N14" s="4" t="n">
        <v>1.57</v>
      </c>
      <c r="O14" s="7" t="n">
        <v>3592</v>
      </c>
      <c r="P14" s="7" t="n">
        <v>2134</v>
      </c>
      <c r="Q14" s="6" t="n"/>
      <c r="R14" s="2" t="n">
        <v>6</v>
      </c>
      <c r="S14" s="2" t="inlineStr"/>
    </row>
    <row r="15">
      <c r="A15" s="2" t="n">
        <v>3</v>
      </c>
      <c r="B15" s="2" t="inlineStr">
        <is>
          <t>18.1</t>
        </is>
      </c>
      <c r="C15" s="2" t="inlineStr">
        <is>
          <t>Марьинское</t>
        </is>
      </c>
      <c r="D15" s="2" t="n">
        <v>302</v>
      </c>
      <c r="E15" s="4" t="n">
        <v>1536</v>
      </c>
      <c r="F15" s="4" t="n">
        <v>117.86</v>
      </c>
      <c r="G15" s="2" t="inlineStr">
        <is>
          <t>before</t>
        </is>
      </c>
      <c r="H15" s="2" t="inlineStr">
        <is>
          <t>wet</t>
        </is>
      </c>
      <c r="I15" s="4" t="n">
        <v>16.71596565904337</v>
      </c>
      <c r="J15" s="5">
        <f>I15/100</f>
        <v/>
      </c>
      <c r="K15" s="4" t="n">
        <v>24.64458418260929</v>
      </c>
      <c r="L15" s="4" t="n">
        <v>2.248010240963855</v>
      </c>
      <c r="M15" s="4" t="n">
        <v>2.699209108627859</v>
      </c>
      <c r="N15" s="4" t="n">
        <v>2.2</v>
      </c>
      <c r="O15" s="7" t="n">
        <v>3934</v>
      </c>
      <c r="P15" s="7" t="n">
        <v>2044</v>
      </c>
      <c r="Q15" s="4" t="n">
        <v>7.32</v>
      </c>
      <c r="R15" s="2" t="n">
        <v>6</v>
      </c>
      <c r="S15" s="2" t="inlineStr"/>
    </row>
    <row r="16">
      <c r="A16" s="2" t="n">
        <v>3</v>
      </c>
      <c r="B16" s="2" t="inlineStr">
        <is>
          <t>18.1</t>
        </is>
      </c>
      <c r="C16" s="2" t="inlineStr">
        <is>
          <t>Марьинское</t>
        </is>
      </c>
      <c r="D16" s="2" t="n">
        <v>302</v>
      </c>
      <c r="E16" s="4" t="n">
        <v>1536</v>
      </c>
      <c r="F16" s="4" t="n">
        <v>117.86</v>
      </c>
      <c r="G16" s="2" t="inlineStr">
        <is>
          <t>after</t>
        </is>
      </c>
      <c r="H16" s="2" t="inlineStr">
        <is>
          <t>dry</t>
        </is>
      </c>
      <c r="I16" s="4" t="n">
        <v>18.87813211845101</v>
      </c>
      <c r="J16" s="5">
        <f>I16/100</f>
        <v/>
      </c>
      <c r="K16" s="6" t="n"/>
      <c r="L16" s="4" t="n">
        <v>2.19</v>
      </c>
      <c r="M16" s="4" t="n">
        <v>2.7</v>
      </c>
      <c r="N16" s="4" t="n">
        <v>1.35</v>
      </c>
      <c r="O16" s="7" t="n">
        <v>2494</v>
      </c>
      <c r="P16" s="7" t="n">
        <v>1679</v>
      </c>
      <c r="Q16" s="6" t="n"/>
      <c r="R16" s="2" t="n">
        <v>6</v>
      </c>
      <c r="S16" s="2" t="inlineStr"/>
    </row>
    <row r="17">
      <c r="A17" s="2" t="n">
        <v>3</v>
      </c>
      <c r="B17" s="2" t="inlineStr">
        <is>
          <t>18.1</t>
        </is>
      </c>
      <c r="C17" s="2" t="inlineStr">
        <is>
          <t>Марьинское</t>
        </is>
      </c>
      <c r="D17" s="2" t="n">
        <v>302</v>
      </c>
      <c r="E17" s="4" t="n">
        <v>1536</v>
      </c>
      <c r="F17" s="4" t="n">
        <v>117.86</v>
      </c>
      <c r="G17" s="2" t="inlineStr">
        <is>
          <t>after</t>
        </is>
      </c>
      <c r="H17" s="2" t="inlineStr">
        <is>
          <t>wet</t>
        </is>
      </c>
      <c r="I17" s="4" t="n">
        <v>18.87813211845101</v>
      </c>
      <c r="J17" s="5">
        <f>I17/100</f>
        <v/>
      </c>
      <c r="K17" s="6" t="n"/>
      <c r="L17" s="4" t="n">
        <v>2.19</v>
      </c>
      <c r="M17" s="4" t="n">
        <v>2.7</v>
      </c>
      <c r="N17" s="4" t="n">
        <v>2.26</v>
      </c>
      <c r="O17" s="7" t="n">
        <v>2937</v>
      </c>
      <c r="P17" s="7" t="n">
        <v>1639</v>
      </c>
      <c r="Q17" s="4" t="n">
        <v>4.57</v>
      </c>
      <c r="R17" s="2" t="n">
        <v>6</v>
      </c>
      <c r="S17" s="2" t="inlineStr"/>
    </row>
    <row r="18">
      <c r="A18" s="2" t="n">
        <v>4</v>
      </c>
      <c r="B18" s="2" t="inlineStr">
        <is>
          <t>19.2</t>
        </is>
      </c>
      <c r="C18" s="2" t="inlineStr">
        <is>
          <t>Марьинское</t>
        </is>
      </c>
      <c r="D18" s="2" t="n">
        <v>302</v>
      </c>
      <c r="E18" s="4" t="n">
        <v>1536.32</v>
      </c>
      <c r="F18" s="4" t="n">
        <v>165.36</v>
      </c>
      <c r="G18" s="2" t="inlineStr">
        <is>
          <t>before</t>
        </is>
      </c>
      <c r="H18" s="2" t="inlineStr">
        <is>
          <t>dry</t>
        </is>
      </c>
      <c r="I18" s="4" t="n">
        <v>15.91996355076315</v>
      </c>
      <c r="J18" s="5">
        <f>I18/100</f>
        <v/>
      </c>
      <c r="K18" s="4" t="n">
        <v>18.62238637609469</v>
      </c>
      <c r="L18" s="4" t="n">
        <v>2.275712977447035</v>
      </c>
      <c r="M18" s="4" t="n">
        <v>2.70660322420411</v>
      </c>
      <c r="N18" s="4" t="n">
        <v>1.74</v>
      </c>
      <c r="O18" s="7" t="n">
        <v>4145</v>
      </c>
      <c r="P18" s="7" t="n">
        <v>2489</v>
      </c>
      <c r="Q18" s="6" t="n"/>
      <c r="R18" s="2" t="n">
        <v>7</v>
      </c>
      <c r="S18" s="2" t="inlineStr"/>
    </row>
    <row r="19">
      <c r="A19" s="2" t="n">
        <v>4</v>
      </c>
      <c r="B19" s="2" t="inlineStr">
        <is>
          <t>19.2</t>
        </is>
      </c>
      <c r="C19" s="2" t="inlineStr">
        <is>
          <t>Марьинское</t>
        </is>
      </c>
      <c r="D19" s="2" t="n">
        <v>302</v>
      </c>
      <c r="E19" s="4" t="n">
        <v>1536.32</v>
      </c>
      <c r="F19" s="4" t="n">
        <v>165.36</v>
      </c>
      <c r="G19" s="2" t="inlineStr">
        <is>
          <t>before</t>
        </is>
      </c>
      <c r="H19" s="2" t="inlineStr">
        <is>
          <t>wet</t>
        </is>
      </c>
      <c r="I19" s="4" t="n">
        <v>15.91996355076315</v>
      </c>
      <c r="J19" s="5">
        <f>I19/100</f>
        <v/>
      </c>
      <c r="K19" s="4" t="n">
        <v>18.62238637609469</v>
      </c>
      <c r="L19" s="4" t="n">
        <v>2.275712977447035</v>
      </c>
      <c r="M19" s="4" t="n">
        <v>2.70660322420411</v>
      </c>
      <c r="N19" s="4" t="n">
        <v>2.28</v>
      </c>
      <c r="O19" s="7" t="n">
        <v>4483</v>
      </c>
      <c r="P19" s="7" t="n">
        <v>2423</v>
      </c>
      <c r="Q19" s="4" t="n">
        <v>8</v>
      </c>
      <c r="R19" s="2" t="n">
        <v>7</v>
      </c>
      <c r="S19" s="2" t="inlineStr"/>
    </row>
    <row r="20">
      <c r="A20" s="2" t="n">
        <v>4</v>
      </c>
      <c r="B20" s="2" t="inlineStr">
        <is>
          <t>19.2</t>
        </is>
      </c>
      <c r="C20" s="2" t="inlineStr">
        <is>
          <t>Марьинское</t>
        </is>
      </c>
      <c r="D20" s="2" t="n">
        <v>302</v>
      </c>
      <c r="E20" s="4" t="n">
        <v>1536.32</v>
      </c>
      <c r="F20" s="4" t="n">
        <v>165.36</v>
      </c>
      <c r="G20" s="2" t="inlineStr">
        <is>
          <t>after</t>
        </is>
      </c>
      <c r="H20" s="2" t="inlineStr">
        <is>
          <t>dry</t>
        </is>
      </c>
      <c r="I20" s="4" t="n">
        <v>17.64793560888359</v>
      </c>
      <c r="J20" s="5">
        <f>I20/100</f>
        <v/>
      </c>
      <c r="K20" s="6" t="n"/>
      <c r="L20" s="4" t="n">
        <v>2.22</v>
      </c>
      <c r="M20" s="4" t="n">
        <v>2.7</v>
      </c>
      <c r="N20" s="4" t="n">
        <v>1.51</v>
      </c>
      <c r="O20" s="7" t="n">
        <v>3040</v>
      </c>
      <c r="P20" s="7" t="n">
        <v>1828</v>
      </c>
      <c r="Q20" s="6" t="n"/>
      <c r="R20" s="2" t="n">
        <v>7</v>
      </c>
      <c r="S20" s="2" t="inlineStr"/>
    </row>
    <row r="21">
      <c r="A21" s="2" t="n">
        <v>4</v>
      </c>
      <c r="B21" s="2" t="inlineStr">
        <is>
          <t>19.2</t>
        </is>
      </c>
      <c r="C21" s="2" t="inlineStr">
        <is>
          <t>Марьинское</t>
        </is>
      </c>
      <c r="D21" s="2" t="n">
        <v>302</v>
      </c>
      <c r="E21" s="4" t="n">
        <v>1536.32</v>
      </c>
      <c r="F21" s="4" t="n">
        <v>165.36</v>
      </c>
      <c r="G21" s="2" t="inlineStr">
        <is>
          <t>after</t>
        </is>
      </c>
      <c r="H21" s="2" t="inlineStr">
        <is>
          <t>wet</t>
        </is>
      </c>
      <c r="I21" s="4" t="n">
        <v>17.64793560888359</v>
      </c>
      <c r="J21" s="5">
        <f>I21/100</f>
        <v/>
      </c>
      <c r="K21" s="6" t="n"/>
      <c r="L21" s="4" t="n">
        <v>2.22</v>
      </c>
      <c r="M21" s="4" t="n">
        <v>2.7</v>
      </c>
      <c r="N21" s="4" t="n">
        <v>2.31</v>
      </c>
      <c r="O21" s="7" t="n">
        <v>3317</v>
      </c>
      <c r="P21" s="7" t="n">
        <v>1887</v>
      </c>
      <c r="Q21" s="4" t="n">
        <v>4.6</v>
      </c>
      <c r="R21" s="2" t="n">
        <v>7</v>
      </c>
      <c r="S21" s="2" t="inlineStr"/>
    </row>
    <row r="22">
      <c r="A22" s="2" t="n">
        <v>6</v>
      </c>
      <c r="B22" s="2" t="inlineStr">
        <is>
          <t>12</t>
        </is>
      </c>
      <c r="C22" s="2" t="inlineStr">
        <is>
          <t>Марьинское</t>
        </is>
      </c>
      <c r="D22" s="2" t="n">
        <v>302</v>
      </c>
      <c r="E22" s="4" t="n">
        <v>1535.2</v>
      </c>
      <c r="F22" s="4" t="n">
        <v>208.44</v>
      </c>
      <c r="G22" s="2" t="inlineStr">
        <is>
          <t>before</t>
        </is>
      </c>
      <c r="H22" s="2" t="inlineStr">
        <is>
          <t>dry</t>
        </is>
      </c>
      <c r="I22" s="4" t="n">
        <v>15.5954465849387</v>
      </c>
      <c r="J22" s="5">
        <f>I22/100</f>
        <v/>
      </c>
      <c r="K22" s="4" t="n">
        <v>16.61215163302828</v>
      </c>
      <c r="L22" s="4" t="n">
        <v>2.271307184763573</v>
      </c>
      <c r="M22" s="4" t="n">
        <v>2.690977077497666</v>
      </c>
      <c r="N22" s="4" t="n">
        <v>1.77</v>
      </c>
      <c r="O22" s="7" t="n">
        <v>4236</v>
      </c>
      <c r="P22" s="7" t="n">
        <v>2488</v>
      </c>
      <c r="Q22" s="6" t="n"/>
      <c r="R22" s="2" t="n">
        <v>8</v>
      </c>
      <c r="S22" s="2" t="inlineStr"/>
    </row>
    <row r="23">
      <c r="A23" s="2" t="n">
        <v>6</v>
      </c>
      <c r="B23" s="2" t="inlineStr">
        <is>
          <t>12</t>
        </is>
      </c>
      <c r="C23" s="2" t="inlineStr">
        <is>
          <t>Марьинское</t>
        </is>
      </c>
      <c r="D23" s="2" t="n">
        <v>302</v>
      </c>
      <c r="E23" s="4" t="n">
        <v>1535.2</v>
      </c>
      <c r="F23" s="4" t="n">
        <v>208.44</v>
      </c>
      <c r="G23" s="2" t="inlineStr">
        <is>
          <t>before</t>
        </is>
      </c>
      <c r="H23" s="2" t="inlineStr">
        <is>
          <t>wet</t>
        </is>
      </c>
      <c r="I23" s="4" t="n">
        <v>15.5954465849387</v>
      </c>
      <c r="J23" s="5">
        <f>I23/100</f>
        <v/>
      </c>
      <c r="K23" s="4" t="n">
        <v>16.61215163302828</v>
      </c>
      <c r="L23" s="4" t="n">
        <v>2.271307184763573</v>
      </c>
      <c r="M23" s="4" t="n">
        <v>2.690977077497666</v>
      </c>
      <c r="N23" s="4" t="n">
        <v>2.24</v>
      </c>
      <c r="O23" s="7" t="n">
        <v>4524</v>
      </c>
      <c r="P23" s="7" t="n">
        <v>2412</v>
      </c>
      <c r="Q23" s="4" t="n">
        <v>13.7</v>
      </c>
      <c r="R23" s="2" t="n">
        <v>8</v>
      </c>
      <c r="S23" s="2" t="inlineStr"/>
    </row>
    <row r="24">
      <c r="A24" s="2" t="n">
        <v>6</v>
      </c>
      <c r="B24" s="2" t="inlineStr">
        <is>
          <t>12</t>
        </is>
      </c>
      <c r="C24" s="2" t="inlineStr">
        <is>
          <t>Марьинское</t>
        </is>
      </c>
      <c r="D24" s="2" t="n">
        <v>302</v>
      </c>
      <c r="E24" s="4" t="n">
        <v>1535.2</v>
      </c>
      <c r="F24" s="4" t="n">
        <v>208.44</v>
      </c>
      <c r="G24" s="2" t="inlineStr">
        <is>
          <t>after</t>
        </is>
      </c>
      <c r="H24" s="2" t="inlineStr">
        <is>
          <t>dry</t>
        </is>
      </c>
      <c r="I24" s="4" t="n">
        <v>17.85913398996469</v>
      </c>
      <c r="J24" s="5">
        <f>I24/100</f>
        <v/>
      </c>
      <c r="K24" s="6" t="n"/>
      <c r="L24" s="4" t="n">
        <v>2.2</v>
      </c>
      <c r="M24" s="4" t="n">
        <v>2.68</v>
      </c>
      <c r="N24" s="4" t="n">
        <v>1.46</v>
      </c>
      <c r="O24" s="7" t="n">
        <v>3121</v>
      </c>
      <c r="P24" s="7" t="n">
        <v>2016</v>
      </c>
      <c r="Q24" s="6" t="n"/>
      <c r="R24" s="2" t="n">
        <v>8</v>
      </c>
      <c r="S24" s="2" t="inlineStr"/>
    </row>
    <row r="25">
      <c r="A25" s="2" t="n">
        <v>6</v>
      </c>
      <c r="B25" s="2" t="inlineStr">
        <is>
          <t>12</t>
        </is>
      </c>
      <c r="C25" s="2" t="inlineStr">
        <is>
          <t>Марьинское</t>
        </is>
      </c>
      <c r="D25" s="2" t="n">
        <v>302</v>
      </c>
      <c r="E25" s="4" t="n">
        <v>1535.2</v>
      </c>
      <c r="F25" s="4" t="n">
        <v>208.44</v>
      </c>
      <c r="G25" s="2" t="inlineStr">
        <is>
          <t>after</t>
        </is>
      </c>
      <c r="H25" s="2" t="inlineStr">
        <is>
          <t>wet</t>
        </is>
      </c>
      <c r="I25" s="4" t="n">
        <v>17.85913398996469</v>
      </c>
      <c r="J25" s="5">
        <f>I25/100</f>
        <v/>
      </c>
      <c r="K25" s="6" t="n"/>
      <c r="L25" s="4" t="n">
        <v>2.2</v>
      </c>
      <c r="M25" s="4" t="n">
        <v>2.68</v>
      </c>
      <c r="N25" s="4" t="n">
        <v>2.1</v>
      </c>
      <c r="O25" s="7" t="n">
        <v>3145</v>
      </c>
      <c r="P25" s="7" t="n">
        <v>2053</v>
      </c>
      <c r="Q25" s="6" t="n"/>
      <c r="R25" s="2" t="n">
        <v>8</v>
      </c>
      <c r="S25" s="2" t="inlineStr"/>
    </row>
    <row r="26">
      <c r="A26" s="2" t="n">
        <v>9</v>
      </c>
      <c r="B26" s="2" t="inlineStr">
        <is>
          <t>23</t>
        </is>
      </c>
      <c r="C26" s="2" t="inlineStr">
        <is>
          <t>Марьинское</t>
        </is>
      </c>
      <c r="D26" s="2" t="n">
        <v>302</v>
      </c>
      <c r="E26" s="4" t="n">
        <v>1537.19</v>
      </c>
      <c r="F26" s="4" t="n">
        <v>251.8</v>
      </c>
      <c r="G26" s="2" t="inlineStr">
        <is>
          <t>before</t>
        </is>
      </c>
      <c r="H26" s="2" t="inlineStr">
        <is>
          <t>dry</t>
        </is>
      </c>
      <c r="I26" s="4" t="n">
        <v>15.38029013757164</v>
      </c>
      <c r="J26" s="5">
        <f>I26/100</f>
        <v/>
      </c>
      <c r="K26" s="4" t="n">
        <v>15.40049087905547</v>
      </c>
      <c r="L26" s="4" t="n">
        <v>2.286143786782623</v>
      </c>
      <c r="M26" s="4" t="n">
        <v>2.701668193496943</v>
      </c>
      <c r="N26" s="4" t="n">
        <v>1.81</v>
      </c>
      <c r="O26" s="7" t="n">
        <v>4211</v>
      </c>
      <c r="P26" s="7" t="n">
        <v>2543</v>
      </c>
      <c r="Q26" s="6" t="n"/>
      <c r="R26" s="2" t="n">
        <v>9</v>
      </c>
      <c r="S26" s="2" t="inlineStr"/>
    </row>
    <row r="27">
      <c r="A27" s="2" t="n">
        <v>9</v>
      </c>
      <c r="B27" s="2" t="inlineStr">
        <is>
          <t>23</t>
        </is>
      </c>
      <c r="C27" s="2" t="inlineStr">
        <is>
          <t>Марьинское</t>
        </is>
      </c>
      <c r="D27" s="2" t="n">
        <v>302</v>
      </c>
      <c r="E27" s="4" t="n">
        <v>1537.19</v>
      </c>
      <c r="F27" s="4" t="n">
        <v>251.8</v>
      </c>
      <c r="G27" s="2" t="inlineStr">
        <is>
          <t>before</t>
        </is>
      </c>
      <c r="H27" s="2" t="inlineStr">
        <is>
          <t>wet</t>
        </is>
      </c>
      <c r="I27" s="4" t="n">
        <v>15.38029013757164</v>
      </c>
      <c r="J27" s="5">
        <f>I27/100</f>
        <v/>
      </c>
      <c r="K27" s="4" t="n">
        <v>15.40049087905547</v>
      </c>
      <c r="L27" s="4" t="n">
        <v>2.286143786782623</v>
      </c>
      <c r="M27" s="4" t="n">
        <v>2.701668193496943</v>
      </c>
      <c r="N27" s="4" t="n">
        <v>2.31</v>
      </c>
      <c r="O27" s="7" t="n">
        <v>4452</v>
      </c>
      <c r="P27" s="7" t="n">
        <v>2463</v>
      </c>
      <c r="Q27" s="4" t="n">
        <v>9.33</v>
      </c>
      <c r="R27" s="2" t="n">
        <v>9</v>
      </c>
      <c r="S27" s="2" t="inlineStr"/>
    </row>
    <row r="28">
      <c r="A28" s="2" t="n">
        <v>9</v>
      </c>
      <c r="B28" s="2" t="inlineStr">
        <is>
          <t>23</t>
        </is>
      </c>
      <c r="C28" s="2" t="inlineStr">
        <is>
          <t>Марьинское</t>
        </is>
      </c>
      <c r="D28" s="2" t="n">
        <v>302</v>
      </c>
      <c r="E28" s="4" t="n">
        <v>1537.19</v>
      </c>
      <c r="F28" s="4" t="n">
        <v>251.8</v>
      </c>
      <c r="G28" s="2" t="inlineStr">
        <is>
          <t>after</t>
        </is>
      </c>
      <c r="H28" s="2" t="inlineStr">
        <is>
          <t>dry</t>
        </is>
      </c>
      <c r="I28" s="4" t="n">
        <v>17.16230211569759</v>
      </c>
      <c r="J28" s="5">
        <f>I28/100</f>
        <v/>
      </c>
      <c r="K28" s="6" t="n"/>
      <c r="L28" s="4" t="n">
        <v>2.23</v>
      </c>
      <c r="M28" s="4" t="n">
        <v>2.69</v>
      </c>
      <c r="N28" s="4" t="n">
        <v>1.63</v>
      </c>
      <c r="O28" s="7" t="n">
        <v>3375</v>
      </c>
      <c r="P28" s="7" t="n">
        <v>2002</v>
      </c>
      <c r="Q28" s="6" t="n"/>
      <c r="R28" s="2" t="n">
        <v>9</v>
      </c>
      <c r="S28" s="2" t="inlineStr"/>
    </row>
    <row r="29">
      <c r="A29" s="2" t="n">
        <v>9</v>
      </c>
      <c r="B29" s="2" t="inlineStr">
        <is>
          <t>23</t>
        </is>
      </c>
      <c r="C29" s="2" t="inlineStr">
        <is>
          <t>Марьинское</t>
        </is>
      </c>
      <c r="D29" s="2" t="n">
        <v>302</v>
      </c>
      <c r="E29" s="4" t="n">
        <v>1537.19</v>
      </c>
      <c r="F29" s="4" t="n">
        <v>251.8</v>
      </c>
      <c r="G29" s="2" t="inlineStr">
        <is>
          <t>after</t>
        </is>
      </c>
      <c r="H29" s="2" t="inlineStr">
        <is>
          <t>wet</t>
        </is>
      </c>
      <c r="I29" s="4" t="n">
        <v>17.16230211569759</v>
      </c>
      <c r="J29" s="5">
        <f>I29/100</f>
        <v/>
      </c>
      <c r="K29" s="6" t="n"/>
      <c r="L29" s="4" t="n">
        <v>2.23</v>
      </c>
      <c r="M29" s="4" t="n">
        <v>2.69</v>
      </c>
      <c r="N29" s="4" t="n">
        <v>2.25</v>
      </c>
      <c r="O29" s="7" t="n">
        <v>3384</v>
      </c>
      <c r="P29" s="7" t="n">
        <v>2025</v>
      </c>
      <c r="Q29" s="4" t="n">
        <v>5.45</v>
      </c>
      <c r="R29" s="2" t="n">
        <v>9</v>
      </c>
      <c r="S29" s="2" t="inlineStr"/>
    </row>
    <row r="30">
      <c r="A30" s="2" t="n">
        <v>8</v>
      </c>
      <c r="B30" s="2" t="inlineStr">
        <is>
          <t>20.1</t>
        </is>
      </c>
      <c r="C30" s="2" t="inlineStr">
        <is>
          <t>Марьинское</t>
        </is>
      </c>
      <c r="D30" s="2" t="n">
        <v>302</v>
      </c>
      <c r="E30" s="4" t="n">
        <v>1536.49</v>
      </c>
      <c r="F30" s="4" t="n">
        <v>293.5849999999999</v>
      </c>
      <c r="G30" s="2" t="inlineStr">
        <is>
          <t>before</t>
        </is>
      </c>
      <c r="H30" s="2" t="inlineStr">
        <is>
          <t>dry</t>
        </is>
      </c>
      <c r="I30" s="4" t="n">
        <v>14.96686215610547</v>
      </c>
      <c r="J30" s="5">
        <f>I30/100</f>
        <v/>
      </c>
      <c r="K30" s="4" t="n">
        <v>13.31475388026422</v>
      </c>
      <c r="L30" s="4" t="n">
        <v>2.304247990273208</v>
      </c>
      <c r="M30" s="4" t="n">
        <v>2.709823544914209</v>
      </c>
      <c r="N30" s="4" t="n">
        <v>1.78</v>
      </c>
      <c r="O30" s="7" t="n">
        <v>3905</v>
      </c>
      <c r="P30" s="7" t="n">
        <v>2276</v>
      </c>
      <c r="Q30" s="6" t="n"/>
      <c r="R30" s="2" t="n">
        <v>10</v>
      </c>
      <c r="S30" s="2" t="inlineStr"/>
    </row>
    <row r="31">
      <c r="A31" s="2" t="n">
        <v>8</v>
      </c>
      <c r="B31" s="2" t="inlineStr">
        <is>
          <t>20.1</t>
        </is>
      </c>
      <c r="C31" s="2" t="inlineStr">
        <is>
          <t>Марьинское</t>
        </is>
      </c>
      <c r="D31" s="2" t="n">
        <v>302</v>
      </c>
      <c r="E31" s="4" t="n">
        <v>1536.49</v>
      </c>
      <c r="F31" s="4" t="n">
        <v>293.5849999999999</v>
      </c>
      <c r="G31" s="2" t="inlineStr">
        <is>
          <t>before</t>
        </is>
      </c>
      <c r="H31" s="2" t="inlineStr">
        <is>
          <t>wet</t>
        </is>
      </c>
      <c r="I31" s="4" t="n">
        <v>14.96686215610547</v>
      </c>
      <c r="J31" s="5">
        <f>I31/100</f>
        <v/>
      </c>
      <c r="K31" s="4" t="n">
        <v>13.31475388026422</v>
      </c>
      <c r="L31" s="4" t="n">
        <v>2.304247990273208</v>
      </c>
      <c r="M31" s="4" t="n">
        <v>2.709823544914209</v>
      </c>
      <c r="N31" s="4" t="n">
        <v>2.35</v>
      </c>
      <c r="O31" s="7" t="n">
        <v>4297</v>
      </c>
      <c r="P31" s="7" t="n">
        <v>2249</v>
      </c>
      <c r="Q31" s="4" t="n">
        <v>9.69</v>
      </c>
      <c r="R31" s="2" t="n">
        <v>10</v>
      </c>
      <c r="S31" s="2" t="inlineStr"/>
    </row>
    <row r="32">
      <c r="A32" s="2" t="n">
        <v>8</v>
      </c>
      <c r="B32" s="2" t="inlineStr">
        <is>
          <t>20.1</t>
        </is>
      </c>
      <c r="C32" s="2" t="inlineStr">
        <is>
          <t>Марьинское</t>
        </is>
      </c>
      <c r="D32" s="2" t="n">
        <v>302</v>
      </c>
      <c r="E32" s="4" t="n">
        <v>1536.49</v>
      </c>
      <c r="F32" s="4" t="n">
        <v>293.5849999999999</v>
      </c>
      <c r="G32" s="2" t="inlineStr">
        <is>
          <t>after</t>
        </is>
      </c>
      <c r="H32" s="2" t="inlineStr">
        <is>
          <t>dry</t>
        </is>
      </c>
      <c r="I32" s="4" t="n">
        <v>15.82317702953934</v>
      </c>
      <c r="J32" s="5">
        <f>I32/100</f>
        <v/>
      </c>
      <c r="K32" s="6" t="n"/>
      <c r="L32" s="4" t="n">
        <v>2.27</v>
      </c>
      <c r="M32" s="4" t="n">
        <v>2.7</v>
      </c>
      <c r="N32" s="4" t="n">
        <v>1.6</v>
      </c>
      <c r="O32" s="7" t="n">
        <v>3072</v>
      </c>
      <c r="P32" s="7" t="n">
        <v>1962</v>
      </c>
      <c r="Q32" s="6" t="n"/>
      <c r="R32" s="2" t="n">
        <v>10</v>
      </c>
      <c r="S32" s="2" t="inlineStr"/>
    </row>
    <row r="33">
      <c r="A33" s="2" t="n">
        <v>8</v>
      </c>
      <c r="B33" s="2" t="inlineStr">
        <is>
          <t>20.1</t>
        </is>
      </c>
      <c r="C33" s="2" t="inlineStr">
        <is>
          <t>Марьинское</t>
        </is>
      </c>
      <c r="D33" s="2" t="n">
        <v>302</v>
      </c>
      <c r="E33" s="4" t="n">
        <v>1536.49</v>
      </c>
      <c r="F33" s="4" t="n">
        <v>293.5849999999999</v>
      </c>
      <c r="G33" s="2" t="inlineStr">
        <is>
          <t>after</t>
        </is>
      </c>
      <c r="H33" s="2" t="inlineStr">
        <is>
          <t>wet</t>
        </is>
      </c>
      <c r="I33" s="4" t="n">
        <v>15.82317702953934</v>
      </c>
      <c r="J33" s="5">
        <f>I33/100</f>
        <v/>
      </c>
      <c r="K33" s="6" t="n"/>
      <c r="L33" s="4" t="n">
        <v>2.27</v>
      </c>
      <c r="M33" s="4" t="n">
        <v>2.7</v>
      </c>
      <c r="N33" s="4" t="n">
        <v>2.35</v>
      </c>
      <c r="O33" s="7" t="n">
        <v>3355</v>
      </c>
      <c r="P33" s="7" t="n">
        <v>1952</v>
      </c>
      <c r="Q33" s="6" t="n"/>
      <c r="R33" s="2" t="n">
        <v>10</v>
      </c>
      <c r="S33" s="2" t="inlineStr"/>
    </row>
    <row r="34">
      <c r="A34" s="2" t="n">
        <v>7</v>
      </c>
      <c r="B34" s="2" t="inlineStr">
        <is>
          <t>18.2</t>
        </is>
      </c>
      <c r="C34" s="2" t="inlineStr">
        <is>
          <t>Марьинское</t>
        </is>
      </c>
      <c r="D34" s="2" t="n">
        <v>302</v>
      </c>
      <c r="E34" s="4" t="n">
        <v>1536.16</v>
      </c>
      <c r="F34" s="4" t="n">
        <v>332.6599999999999</v>
      </c>
      <c r="G34" s="2" t="inlineStr">
        <is>
          <t>before</t>
        </is>
      </c>
      <c r="H34" s="2" t="inlineStr">
        <is>
          <t>dry</t>
        </is>
      </c>
      <c r="I34" s="4" t="n">
        <v>14.63404327248142</v>
      </c>
      <c r="J34" s="5">
        <f>I34/100</f>
        <v/>
      </c>
      <c r="K34" s="4" t="n">
        <v>11.84280473332341</v>
      </c>
      <c r="L34" s="4" t="n">
        <v>2.304784495436105</v>
      </c>
      <c r="M34" s="4" t="n">
        <v>2.699887149151032</v>
      </c>
      <c r="N34" s="4" t="n">
        <v>1.86</v>
      </c>
      <c r="O34" s="7" t="n">
        <v>4051</v>
      </c>
      <c r="P34" s="7" t="n">
        <v>2440</v>
      </c>
      <c r="Q34" s="6" t="n"/>
      <c r="R34" s="2" t="n">
        <v>11</v>
      </c>
      <c r="S34" s="2" t="inlineStr"/>
    </row>
    <row r="35">
      <c r="A35" s="2" t="n">
        <v>7</v>
      </c>
      <c r="B35" s="2" t="inlineStr">
        <is>
          <t>18.2</t>
        </is>
      </c>
      <c r="C35" s="2" t="inlineStr">
        <is>
          <t>Марьинское</t>
        </is>
      </c>
      <c r="D35" s="2" t="n">
        <v>302</v>
      </c>
      <c r="E35" s="4" t="n">
        <v>1536.16</v>
      </c>
      <c r="F35" s="4" t="n">
        <v>332.6599999999999</v>
      </c>
      <c r="G35" s="2" t="inlineStr">
        <is>
          <t>before</t>
        </is>
      </c>
      <c r="H35" s="2" t="inlineStr">
        <is>
          <t>wet</t>
        </is>
      </c>
      <c r="I35" s="4" t="n">
        <v>14.63404327248142</v>
      </c>
      <c r="J35" s="5">
        <f>I35/100</f>
        <v/>
      </c>
      <c r="K35" s="4" t="n">
        <v>11.84280473332341</v>
      </c>
      <c r="L35" s="4" t="n">
        <v>2.304784495436105</v>
      </c>
      <c r="M35" s="4" t="n">
        <v>2.699887149151032</v>
      </c>
      <c r="N35" s="4" t="n">
        <v>2.37</v>
      </c>
      <c r="O35" s="7" t="n">
        <v>4296</v>
      </c>
      <c r="P35" s="7" t="n">
        <v>2468</v>
      </c>
      <c r="Q35" s="4" t="n">
        <v>10.07</v>
      </c>
      <c r="R35" s="2" t="n">
        <v>11</v>
      </c>
      <c r="S35" s="2" t="inlineStr"/>
    </row>
    <row r="36">
      <c r="A36" s="2" t="n">
        <v>7</v>
      </c>
      <c r="B36" s="2" t="inlineStr">
        <is>
          <t>18.2</t>
        </is>
      </c>
      <c r="C36" s="2" t="inlineStr">
        <is>
          <t>Марьинское</t>
        </is>
      </c>
      <c r="D36" s="2" t="n">
        <v>302</v>
      </c>
      <c r="E36" s="4" t="n">
        <v>1536.16</v>
      </c>
      <c r="F36" s="4" t="n">
        <v>332.6599999999999</v>
      </c>
      <c r="G36" s="2" t="inlineStr">
        <is>
          <t>after</t>
        </is>
      </c>
      <c r="H36" s="2" t="inlineStr">
        <is>
          <t>dry</t>
        </is>
      </c>
      <c r="I36" s="4" t="n">
        <v>16.17647058823529</v>
      </c>
      <c r="J36" s="5">
        <f>I36/100</f>
        <v/>
      </c>
      <c r="K36" s="6" t="n"/>
      <c r="L36" s="4" t="n">
        <v>2.26</v>
      </c>
      <c r="M36" s="4" t="n">
        <v>2.7</v>
      </c>
      <c r="N36" s="4" t="n">
        <v>1.68</v>
      </c>
      <c r="O36" s="7" t="n">
        <v>3150</v>
      </c>
      <c r="P36" s="7" t="n">
        <v>1957</v>
      </c>
      <c r="Q36" s="6" t="n"/>
      <c r="R36" s="2" t="n">
        <v>11</v>
      </c>
      <c r="S36" s="2" t="inlineStr"/>
    </row>
    <row r="37">
      <c r="A37" s="2" t="n">
        <v>7</v>
      </c>
      <c r="B37" s="2" t="inlineStr">
        <is>
          <t>18.2</t>
        </is>
      </c>
      <c r="C37" s="2" t="inlineStr">
        <is>
          <t>Марьинское</t>
        </is>
      </c>
      <c r="D37" s="2" t="n">
        <v>302</v>
      </c>
      <c r="E37" s="4" t="n">
        <v>1536.16</v>
      </c>
      <c r="F37" s="4" t="n">
        <v>332.6599999999999</v>
      </c>
      <c r="G37" s="2" t="inlineStr">
        <is>
          <t>after</t>
        </is>
      </c>
      <c r="H37" s="2" t="inlineStr">
        <is>
          <t>wet</t>
        </is>
      </c>
      <c r="I37" s="4" t="n">
        <v>16.17647058823529</v>
      </c>
      <c r="J37" s="5">
        <f>I37/100</f>
        <v/>
      </c>
      <c r="K37" s="6" t="n"/>
      <c r="L37" s="4" t="n">
        <v>2.26</v>
      </c>
      <c r="M37" s="4" t="n">
        <v>2.7</v>
      </c>
      <c r="N37" s="4" t="n">
        <v>2.27</v>
      </c>
      <c r="O37" s="7" t="n">
        <v>3416</v>
      </c>
      <c r="P37" s="7" t="n">
        <v>1940</v>
      </c>
      <c r="Q37" s="4" t="n">
        <v>6.14</v>
      </c>
      <c r="R37" s="2" t="n">
        <v>11</v>
      </c>
      <c r="S37" s="2" t="inlineStr"/>
    </row>
    <row r="38">
      <c r="A38" s="2" t="n">
        <v>13</v>
      </c>
      <c r="B38" s="2" t="inlineStr">
        <is>
          <t>22.3</t>
        </is>
      </c>
      <c r="C38" s="2" t="inlineStr">
        <is>
          <t>Марьинское</t>
        </is>
      </c>
      <c r="D38" s="2" t="n">
        <v>302</v>
      </c>
      <c r="E38" s="4" t="n">
        <v>1536.96</v>
      </c>
      <c r="F38" s="4" t="n">
        <v>365.2449999999999</v>
      </c>
      <c r="G38" s="2" t="inlineStr">
        <is>
          <t>before</t>
        </is>
      </c>
      <c r="H38" s="2" t="inlineStr">
        <is>
          <t>dry</t>
        </is>
      </c>
      <c r="I38" s="4" t="n">
        <v>13.8277271749265</v>
      </c>
      <c r="J38" s="5">
        <f>I38/100</f>
        <v/>
      </c>
      <c r="K38" s="4" t="n">
        <v>8.916444079573445</v>
      </c>
      <c r="L38" s="4" t="n">
        <v>2.32781052858065</v>
      </c>
      <c r="M38" s="4" t="n">
        <v>2.701345168539326</v>
      </c>
      <c r="N38" s="4" t="n">
        <v>1.95</v>
      </c>
      <c r="O38" s="7" t="n">
        <v>4552</v>
      </c>
      <c r="P38" s="7" t="n">
        <v>2689</v>
      </c>
      <c r="Q38" s="6" t="n"/>
      <c r="R38" s="2" t="n">
        <v>12</v>
      </c>
      <c r="S38" s="2" t="inlineStr"/>
    </row>
    <row r="39">
      <c r="A39" s="2" t="n">
        <v>13</v>
      </c>
      <c r="B39" s="2" t="inlineStr">
        <is>
          <t>22.3</t>
        </is>
      </c>
      <c r="C39" s="2" t="inlineStr">
        <is>
          <t>Марьинское</t>
        </is>
      </c>
      <c r="D39" s="2" t="n">
        <v>302</v>
      </c>
      <c r="E39" s="4" t="n">
        <v>1536.96</v>
      </c>
      <c r="F39" s="4" t="n">
        <v>365.2449999999999</v>
      </c>
      <c r="G39" s="2" t="inlineStr">
        <is>
          <t>before</t>
        </is>
      </c>
      <c r="H39" s="2" t="inlineStr">
        <is>
          <t>wet</t>
        </is>
      </c>
      <c r="I39" s="4" t="n">
        <v>13.8277271749265</v>
      </c>
      <c r="J39" s="5">
        <f>I39/100</f>
        <v/>
      </c>
      <c r="K39" s="4" t="n">
        <v>8.916444079573445</v>
      </c>
      <c r="L39" s="4" t="n">
        <v>2.32781052858065</v>
      </c>
      <c r="M39" s="4" t="n">
        <v>2.701345168539326</v>
      </c>
      <c r="N39" s="4" t="n">
        <v>2.35</v>
      </c>
      <c r="O39" s="7" t="n">
        <v>4921</v>
      </c>
      <c r="P39" s="7" t="n">
        <v>2530</v>
      </c>
      <c r="Q39" s="4" t="n">
        <v>13.32</v>
      </c>
      <c r="R39" s="2" t="n">
        <v>12</v>
      </c>
      <c r="S39" s="2" t="inlineStr"/>
    </row>
    <row r="40">
      <c r="A40" s="2" t="n">
        <v>13</v>
      </c>
      <c r="B40" s="2" t="inlineStr">
        <is>
          <t>22.3</t>
        </is>
      </c>
      <c r="C40" s="2" t="inlineStr">
        <is>
          <t>Марьинское</t>
        </is>
      </c>
      <c r="D40" s="2" t="n">
        <v>302</v>
      </c>
      <c r="E40" s="4" t="n">
        <v>1536.96</v>
      </c>
      <c r="F40" s="4" t="n">
        <v>365.2449999999999</v>
      </c>
      <c r="G40" s="2" t="inlineStr">
        <is>
          <t>after</t>
        </is>
      </c>
      <c r="H40" s="2" t="inlineStr">
        <is>
          <t>dry</t>
        </is>
      </c>
      <c r="I40" s="4" t="n">
        <v>14.48275862068965</v>
      </c>
      <c r="J40" s="5">
        <f>I40/100</f>
        <v/>
      </c>
      <c r="K40" s="6" t="n"/>
      <c r="L40" s="4" t="n">
        <v>2.3</v>
      </c>
      <c r="M40" s="4" t="n">
        <v>2.69</v>
      </c>
      <c r="N40" s="4" t="n">
        <v>1.76</v>
      </c>
      <c r="O40" s="7" t="n">
        <v>3535</v>
      </c>
      <c r="P40" s="7" t="n">
        <v>2356</v>
      </c>
      <c r="Q40" s="6" t="n"/>
      <c r="R40" s="2" t="n">
        <v>12</v>
      </c>
      <c r="S40" s="2" t="inlineStr"/>
    </row>
    <row r="41">
      <c r="A41" s="2" t="n">
        <v>13</v>
      </c>
      <c r="B41" s="2" t="inlineStr">
        <is>
          <t>22.3</t>
        </is>
      </c>
      <c r="C41" s="2" t="inlineStr">
        <is>
          <t>Марьинское</t>
        </is>
      </c>
      <c r="D41" s="2" t="n">
        <v>302</v>
      </c>
      <c r="E41" s="4" t="n">
        <v>1536.96</v>
      </c>
      <c r="F41" s="4" t="n">
        <v>365.2449999999999</v>
      </c>
      <c r="G41" s="2" t="inlineStr">
        <is>
          <t>after</t>
        </is>
      </c>
      <c r="H41" s="2" t="inlineStr">
        <is>
          <t>wet</t>
        </is>
      </c>
      <c r="I41" s="4" t="n">
        <v>14.48275862068965</v>
      </c>
      <c r="J41" s="5">
        <f>I41/100</f>
        <v/>
      </c>
      <c r="K41" s="6" t="n"/>
      <c r="L41" s="4" t="n">
        <v>2.3</v>
      </c>
      <c r="M41" s="4" t="n">
        <v>2.69</v>
      </c>
      <c r="N41" s="4" t="n">
        <v>2.36</v>
      </c>
      <c r="O41" s="7" t="n">
        <v>4245</v>
      </c>
      <c r="P41" s="7" t="n">
        <v>2225</v>
      </c>
      <c r="Q41" s="4" t="n">
        <v>7.1</v>
      </c>
      <c r="R41" s="2" t="n">
        <v>12</v>
      </c>
      <c r="S41" s="2" t="inlineStr"/>
    </row>
    <row r="42">
      <c r="A42" s="2" t="n">
        <v>14</v>
      </c>
      <c r="B42" s="2" t="inlineStr">
        <is>
          <t>24.2</t>
        </is>
      </c>
      <c r="C42" s="2" t="inlineStr">
        <is>
          <t>Марьинское</t>
        </is>
      </c>
      <c r="D42" s="2" t="n">
        <v>302</v>
      </c>
      <c r="E42" s="4" t="n">
        <v>1537.44</v>
      </c>
      <c r="F42" s="4" t="n">
        <v>390.985</v>
      </c>
      <c r="G42" s="2" t="inlineStr">
        <is>
          <t>before</t>
        </is>
      </c>
      <c r="H42" s="2" t="inlineStr">
        <is>
          <t>dry</t>
        </is>
      </c>
      <c r="I42" s="4" t="n">
        <v>13.61656461082004</v>
      </c>
      <c r="J42" s="5">
        <f>I42/100</f>
        <v/>
      </c>
      <c r="K42" s="4" t="n">
        <v>8.277723564380317</v>
      </c>
      <c r="L42" s="4" t="n">
        <v>2.331014260463354</v>
      </c>
      <c r="M42" s="4" t="n">
        <v>2.698450518854135</v>
      </c>
      <c r="N42" s="4" t="n">
        <v>1.91</v>
      </c>
      <c r="O42" s="7" t="n">
        <v>4391</v>
      </c>
      <c r="P42" s="7" t="n">
        <v>2577</v>
      </c>
      <c r="Q42" s="6" t="n"/>
      <c r="R42" s="2" t="n">
        <v>13</v>
      </c>
      <c r="S42" s="2" t="inlineStr"/>
    </row>
    <row r="43">
      <c r="A43" s="2" t="n">
        <v>14</v>
      </c>
      <c r="B43" s="2" t="inlineStr">
        <is>
          <t>24.2</t>
        </is>
      </c>
      <c r="C43" s="2" t="inlineStr">
        <is>
          <t>Марьинское</t>
        </is>
      </c>
      <c r="D43" s="2" t="n">
        <v>302</v>
      </c>
      <c r="E43" s="4" t="n">
        <v>1537.44</v>
      </c>
      <c r="F43" s="4" t="n">
        <v>390.985</v>
      </c>
      <c r="G43" s="2" t="inlineStr">
        <is>
          <t>before</t>
        </is>
      </c>
      <c r="H43" s="2" t="inlineStr">
        <is>
          <t>wet</t>
        </is>
      </c>
      <c r="I43" s="4" t="n">
        <v>13.61656461082004</v>
      </c>
      <c r="J43" s="5">
        <f>I43/100</f>
        <v/>
      </c>
      <c r="K43" s="4" t="n">
        <v>8.277723564380317</v>
      </c>
      <c r="L43" s="4" t="n">
        <v>2.331014260463354</v>
      </c>
      <c r="M43" s="4" t="n">
        <v>2.698450518854135</v>
      </c>
      <c r="N43" s="4" t="n">
        <v>2.38</v>
      </c>
      <c r="O43" s="7" t="n">
        <v>4550</v>
      </c>
      <c r="P43" s="7" t="n">
        <v>2398</v>
      </c>
      <c r="Q43" s="4" t="n">
        <v>12.15</v>
      </c>
      <c r="R43" s="2" t="n">
        <v>13</v>
      </c>
      <c r="S43" s="2" t="inlineStr"/>
    </row>
    <row r="44">
      <c r="A44" s="2" t="n">
        <v>14</v>
      </c>
      <c r="B44" s="2" t="inlineStr">
        <is>
          <t>24.2</t>
        </is>
      </c>
      <c r="C44" s="2" t="inlineStr">
        <is>
          <t>Марьинское</t>
        </is>
      </c>
      <c r="D44" s="2" t="n">
        <v>302</v>
      </c>
      <c r="E44" s="4" t="n">
        <v>1537.44</v>
      </c>
      <c r="F44" s="4" t="n">
        <v>390.985</v>
      </c>
      <c r="G44" s="2" t="inlineStr">
        <is>
          <t>after</t>
        </is>
      </c>
      <c r="H44" s="2" t="inlineStr">
        <is>
          <t>dry</t>
        </is>
      </c>
      <c r="I44" s="4" t="n">
        <v>14.32300163132137</v>
      </c>
      <c r="J44" s="5">
        <f>I44/100</f>
        <v/>
      </c>
      <c r="K44" s="6" t="n"/>
      <c r="L44" s="4" t="n">
        <v>2.3</v>
      </c>
      <c r="M44" s="4" t="n">
        <v>2.69</v>
      </c>
      <c r="N44" s="4" t="n">
        <v>1.74</v>
      </c>
      <c r="O44" s="7" t="n">
        <v>3474</v>
      </c>
      <c r="P44" s="7" t="n">
        <v>2178</v>
      </c>
      <c r="Q44" s="6" t="n"/>
      <c r="R44" s="2" t="n">
        <v>13</v>
      </c>
      <c r="S44" s="2" t="inlineStr"/>
    </row>
    <row r="45">
      <c r="A45" s="2" t="n">
        <v>14</v>
      </c>
      <c r="B45" s="2" t="inlineStr">
        <is>
          <t>24.2</t>
        </is>
      </c>
      <c r="C45" s="2" t="inlineStr">
        <is>
          <t>Марьинское</t>
        </is>
      </c>
      <c r="D45" s="2" t="n">
        <v>302</v>
      </c>
      <c r="E45" s="4" t="n">
        <v>1537.44</v>
      </c>
      <c r="F45" s="4" t="n">
        <v>390.985</v>
      </c>
      <c r="G45" s="2" t="inlineStr">
        <is>
          <t>after</t>
        </is>
      </c>
      <c r="H45" s="2" t="inlineStr">
        <is>
          <t>wet</t>
        </is>
      </c>
      <c r="I45" s="4" t="n">
        <v>14.32300163132137</v>
      </c>
      <c r="J45" s="5">
        <f>I45/100</f>
        <v/>
      </c>
      <c r="K45" s="6" t="n"/>
      <c r="L45" s="4" t="n">
        <v>2.3</v>
      </c>
      <c r="M45" s="4" t="n">
        <v>2.69</v>
      </c>
      <c r="N45" s="4" t="n">
        <v>2.35</v>
      </c>
      <c r="O45" s="7" t="n">
        <v>3955</v>
      </c>
      <c r="P45" s="7" t="n">
        <v>2179</v>
      </c>
      <c r="Q45" s="4" t="n">
        <v>7.77</v>
      </c>
      <c r="R45" s="2" t="n">
        <v>13</v>
      </c>
      <c r="S45" s="2" t="inlineStr"/>
    </row>
    <row r="46">
      <c r="A46" s="2" t="n">
        <v>12</v>
      </c>
      <c r="B46" s="2" t="inlineStr">
        <is>
          <t>22.1</t>
        </is>
      </c>
      <c r="C46" s="2" t="inlineStr">
        <is>
          <t>Марьинское</t>
        </is>
      </c>
      <c r="D46" s="2" t="n">
        <v>302</v>
      </c>
      <c r="E46" s="4" t="n">
        <v>1536.86</v>
      </c>
      <c r="F46" s="4" t="n">
        <v>425.9499999999999</v>
      </c>
      <c r="G46" s="2" t="inlineStr">
        <is>
          <t>before</t>
        </is>
      </c>
      <c r="H46" s="2" t="inlineStr">
        <is>
          <t>dry</t>
        </is>
      </c>
      <c r="I46" s="4" t="n">
        <v>13.41438200388706</v>
      </c>
      <c r="J46" s="5">
        <f>I46/100</f>
        <v/>
      </c>
      <c r="K46" s="4" t="n">
        <v>7.709086677714385</v>
      </c>
      <c r="L46" s="4" t="n">
        <v>2.340254335690361</v>
      </c>
      <c r="M46" s="4" t="n">
        <v>2.702821080280816</v>
      </c>
      <c r="N46" s="4" t="n">
        <v>1.94</v>
      </c>
      <c r="O46" s="7" t="n">
        <v>4369</v>
      </c>
      <c r="P46" s="7" t="n">
        <v>2615</v>
      </c>
      <c r="Q46" s="6" t="n"/>
      <c r="R46" s="2" t="n">
        <v>14</v>
      </c>
      <c r="S46" s="2" t="inlineStr"/>
    </row>
    <row r="47">
      <c r="A47" s="2" t="n">
        <v>12</v>
      </c>
      <c r="B47" s="2" t="inlineStr">
        <is>
          <t>22.1</t>
        </is>
      </c>
      <c r="C47" s="2" t="inlineStr">
        <is>
          <t>Марьинское</t>
        </is>
      </c>
      <c r="D47" s="2" t="n">
        <v>302</v>
      </c>
      <c r="E47" s="4" t="n">
        <v>1536.86</v>
      </c>
      <c r="F47" s="4" t="n">
        <v>425.9499999999999</v>
      </c>
      <c r="G47" s="2" t="inlineStr">
        <is>
          <t>before</t>
        </is>
      </c>
      <c r="H47" s="2" t="inlineStr">
        <is>
          <t>wet</t>
        </is>
      </c>
      <c r="I47" s="4" t="n">
        <v>13.41438200388706</v>
      </c>
      <c r="J47" s="5">
        <f>I47/100</f>
        <v/>
      </c>
      <c r="K47" s="4" t="n">
        <v>7.709086677714385</v>
      </c>
      <c r="L47" s="4" t="n">
        <v>2.340254335690361</v>
      </c>
      <c r="M47" s="4" t="n">
        <v>2.702821080280816</v>
      </c>
      <c r="N47" s="4" t="n">
        <v>2.43</v>
      </c>
      <c r="O47" s="7" t="n">
        <v>4678</v>
      </c>
      <c r="P47" s="7" t="n">
        <v>2521</v>
      </c>
      <c r="Q47" s="4" t="n">
        <v>12.51</v>
      </c>
      <c r="R47" s="2" t="n">
        <v>14</v>
      </c>
      <c r="S47" s="2" t="inlineStr"/>
    </row>
    <row r="48">
      <c r="A48" s="2" t="n">
        <v>12</v>
      </c>
      <c r="B48" s="2" t="inlineStr">
        <is>
          <t>22.1</t>
        </is>
      </c>
      <c r="C48" s="2" t="inlineStr">
        <is>
          <t>Марьинское</t>
        </is>
      </c>
      <c r="D48" s="2" t="n">
        <v>302</v>
      </c>
      <c r="E48" s="4" t="n">
        <v>1536.86</v>
      </c>
      <c r="F48" s="4" t="n">
        <v>425.9499999999999</v>
      </c>
      <c r="G48" s="2" t="inlineStr">
        <is>
          <t>after</t>
        </is>
      </c>
      <c r="H48" s="2" t="inlineStr">
        <is>
          <t>dry</t>
        </is>
      </c>
      <c r="I48" s="4" t="n">
        <v>14.08787826978972</v>
      </c>
      <c r="J48" s="5">
        <f>I48/100</f>
        <v/>
      </c>
      <c r="K48" s="6" t="n"/>
      <c r="L48" s="4" t="n">
        <v>2.31</v>
      </c>
      <c r="M48" s="4" t="n">
        <v>2.69</v>
      </c>
      <c r="N48" s="4" t="n">
        <v>1.7</v>
      </c>
      <c r="O48" s="7" t="n">
        <v>3354</v>
      </c>
      <c r="P48" s="7" t="n">
        <v>2190</v>
      </c>
      <c r="Q48" s="6" t="n"/>
      <c r="R48" s="2" t="n">
        <v>14</v>
      </c>
      <c r="S48" s="2" t="inlineStr"/>
    </row>
    <row r="49">
      <c r="A49" s="2" t="n">
        <v>12</v>
      </c>
      <c r="B49" s="2" t="inlineStr">
        <is>
          <t>22.1</t>
        </is>
      </c>
      <c r="C49" s="2" t="inlineStr">
        <is>
          <t>Марьинское</t>
        </is>
      </c>
      <c r="D49" s="2" t="n">
        <v>302</v>
      </c>
      <c r="E49" s="4" t="n">
        <v>1536.86</v>
      </c>
      <c r="F49" s="4" t="n">
        <v>425.9499999999999</v>
      </c>
      <c r="G49" s="2" t="inlineStr">
        <is>
          <t>after</t>
        </is>
      </c>
      <c r="H49" s="2" t="inlineStr">
        <is>
          <t>wet</t>
        </is>
      </c>
      <c r="I49" s="4" t="n">
        <v>14.08787826978972</v>
      </c>
      <c r="J49" s="5">
        <f>I49/100</f>
        <v/>
      </c>
      <c r="K49" s="6" t="n"/>
      <c r="L49" s="4" t="n">
        <v>2.31</v>
      </c>
      <c r="M49" s="4" t="n">
        <v>2.69</v>
      </c>
      <c r="N49" s="4" t="n">
        <v>2.39</v>
      </c>
      <c r="O49" s="7" t="n">
        <v>3753</v>
      </c>
      <c r="P49" s="7" t="n">
        <v>2138</v>
      </c>
      <c r="Q49" s="4" t="n">
        <v>7.76</v>
      </c>
      <c r="R49" s="2" t="n">
        <v>14</v>
      </c>
      <c r="S49" s="2" t="inlineStr"/>
    </row>
    <row r="50">
      <c r="A50" s="2" t="n">
        <v>10</v>
      </c>
      <c r="B50" s="2" t="inlineStr">
        <is>
          <t>19.1</t>
        </is>
      </c>
      <c r="C50" s="2" t="inlineStr">
        <is>
          <t>Марьинское</t>
        </is>
      </c>
      <c r="D50" s="2" t="n">
        <v>302</v>
      </c>
      <c r="E50" s="4" t="n">
        <v>1536.26</v>
      </c>
      <c r="F50" s="4" t="n">
        <v>466.5499999999999</v>
      </c>
      <c r="G50" s="2" t="inlineStr">
        <is>
          <t>before</t>
        </is>
      </c>
      <c r="H50" s="2" t="inlineStr">
        <is>
          <t>dry</t>
        </is>
      </c>
      <c r="I50" s="4" t="n">
        <v>13.41369813535597</v>
      </c>
      <c r="J50" s="5">
        <f>I50/100</f>
        <v/>
      </c>
      <c r="K50" s="4" t="n">
        <v>7.707231156428092</v>
      </c>
      <c r="L50" s="4" t="n">
        <v>2.336961844778546</v>
      </c>
      <c r="M50" s="4" t="n">
        <v>2.698997179059339</v>
      </c>
      <c r="N50" s="4" t="n">
        <v>1.76</v>
      </c>
      <c r="O50" s="7" t="n">
        <v>4243</v>
      </c>
      <c r="P50" s="7" t="n">
        <v>2588</v>
      </c>
      <c r="Q50" s="6" t="n"/>
      <c r="R50" s="2" t="n">
        <v>15</v>
      </c>
      <c r="S50" s="2" t="inlineStr"/>
    </row>
    <row r="51">
      <c r="A51" s="2" t="n">
        <v>10</v>
      </c>
      <c r="B51" s="2" t="inlineStr">
        <is>
          <t>19.1</t>
        </is>
      </c>
      <c r="C51" s="2" t="inlineStr">
        <is>
          <t>Марьинское</t>
        </is>
      </c>
      <c r="D51" s="2" t="n">
        <v>302</v>
      </c>
      <c r="E51" s="4" t="n">
        <v>1536.26</v>
      </c>
      <c r="F51" s="4" t="n">
        <v>466.5499999999999</v>
      </c>
      <c r="G51" s="2" t="inlineStr">
        <is>
          <t>before</t>
        </is>
      </c>
      <c r="H51" s="2" t="inlineStr">
        <is>
          <t>wet</t>
        </is>
      </c>
      <c r="I51" s="4" t="n">
        <v>13.41369813535597</v>
      </c>
      <c r="J51" s="5">
        <f>I51/100</f>
        <v/>
      </c>
      <c r="K51" s="4" t="n">
        <v>7.707231156428092</v>
      </c>
      <c r="L51" s="4" t="n">
        <v>2.336961844778546</v>
      </c>
      <c r="M51" s="4" t="n">
        <v>2.698997179059339</v>
      </c>
      <c r="N51" s="4" t="n">
        <v>2.32</v>
      </c>
      <c r="O51" s="7" t="n">
        <v>4700</v>
      </c>
      <c r="P51" s="7" t="n">
        <v>2553</v>
      </c>
      <c r="Q51" s="4" t="n">
        <v>11.52</v>
      </c>
      <c r="R51" s="2" t="n">
        <v>15</v>
      </c>
      <c r="S51" s="2" t="inlineStr"/>
    </row>
    <row r="52">
      <c r="A52" s="2" t="n">
        <v>10</v>
      </c>
      <c r="B52" s="2" t="inlineStr">
        <is>
          <t>19.1</t>
        </is>
      </c>
      <c r="C52" s="2" t="inlineStr">
        <is>
          <t>Марьинское</t>
        </is>
      </c>
      <c r="D52" s="2" t="n">
        <v>302</v>
      </c>
      <c r="E52" s="4" t="n">
        <v>1536.26</v>
      </c>
      <c r="F52" s="4" t="n">
        <v>466.5499999999999</v>
      </c>
      <c r="G52" s="2" t="inlineStr">
        <is>
          <t>after</t>
        </is>
      </c>
      <c r="H52" s="2" t="inlineStr">
        <is>
          <t>dry</t>
        </is>
      </c>
      <c r="I52" s="4" t="n">
        <v>14.39740655987797</v>
      </c>
      <c r="J52" s="5">
        <f>I52/100</f>
        <v/>
      </c>
      <c r="K52" s="6" t="n"/>
      <c r="L52" s="4" t="n">
        <v>2.3</v>
      </c>
      <c r="M52" s="4" t="n">
        <v>2.69</v>
      </c>
      <c r="N52" s="4" t="n">
        <v>1.59</v>
      </c>
      <c r="O52" s="7" t="n">
        <v>3249</v>
      </c>
      <c r="P52" s="7" t="n">
        <v>2109</v>
      </c>
      <c r="Q52" s="6" t="n"/>
      <c r="R52" s="2" t="n">
        <v>15</v>
      </c>
      <c r="S52" s="2" t="inlineStr"/>
    </row>
    <row r="53">
      <c r="A53" s="2" t="n">
        <v>10</v>
      </c>
      <c r="B53" s="2" t="inlineStr">
        <is>
          <t>19.1</t>
        </is>
      </c>
      <c r="C53" s="2" t="inlineStr">
        <is>
          <t>Марьинское</t>
        </is>
      </c>
      <c r="D53" s="2" t="n">
        <v>302</v>
      </c>
      <c r="E53" s="4" t="n">
        <v>1536.26</v>
      </c>
      <c r="F53" s="4" t="n">
        <v>466.5499999999999</v>
      </c>
      <c r="G53" s="2" t="inlineStr">
        <is>
          <t>after</t>
        </is>
      </c>
      <c r="H53" s="2" t="inlineStr">
        <is>
          <t>wet</t>
        </is>
      </c>
      <c r="I53" s="4" t="n">
        <v>14.39740655987797</v>
      </c>
      <c r="J53" s="5">
        <f>I53/100</f>
        <v/>
      </c>
      <c r="K53" s="6" t="n"/>
      <c r="L53" s="4" t="n">
        <v>2.3</v>
      </c>
      <c r="M53" s="4" t="n">
        <v>2.69</v>
      </c>
      <c r="N53" s="4" t="n">
        <v>2.36</v>
      </c>
      <c r="O53" s="7" t="n">
        <v>3811</v>
      </c>
      <c r="P53" s="7" t="n">
        <v>2109</v>
      </c>
      <c r="Q53" s="4" t="n">
        <v>6.75</v>
      </c>
      <c r="R53" s="2" t="n">
        <v>15</v>
      </c>
      <c r="S53" s="2" t="inlineStr"/>
    </row>
    <row r="54">
      <c r="A54" s="2" t="n">
        <v>11</v>
      </c>
      <c r="B54" s="2" t="inlineStr">
        <is>
          <t>20.2</t>
        </is>
      </c>
      <c r="C54" s="2" t="inlineStr">
        <is>
          <t>Марьинское</t>
        </is>
      </c>
      <c r="D54" s="2" t="n">
        <v>302</v>
      </c>
      <c r="E54" s="4" t="n">
        <v>1536.57</v>
      </c>
      <c r="F54" s="4" t="n">
        <v>507.6699999999999</v>
      </c>
      <c r="G54" s="2" t="inlineStr">
        <is>
          <t>before</t>
        </is>
      </c>
      <c r="H54" s="2" t="inlineStr">
        <is>
          <t>dry</t>
        </is>
      </c>
      <c r="I54" s="4" t="n">
        <v>13.34436952396335</v>
      </c>
      <c r="J54" s="5">
        <f>I54/100</f>
        <v/>
      </c>
      <c r="K54" s="4" t="n">
        <v>7.52142284506731</v>
      </c>
      <c r="L54" s="4" t="n">
        <v>2.343993075463318</v>
      </c>
      <c r="M54" s="4" t="n">
        <v>2.704951845121611</v>
      </c>
      <c r="N54" s="4" t="n">
        <v>1.91</v>
      </c>
      <c r="O54" s="7" t="n">
        <v>4482</v>
      </c>
      <c r="P54" s="7" t="n">
        <v>2596</v>
      </c>
      <c r="Q54" s="6" t="n"/>
      <c r="R54" s="2" t="n">
        <v>16</v>
      </c>
      <c r="S54" s="2" t="inlineStr"/>
    </row>
    <row r="55">
      <c r="A55" s="2" t="n">
        <v>11</v>
      </c>
      <c r="B55" s="2" t="inlineStr">
        <is>
          <t>20.2</t>
        </is>
      </c>
      <c r="C55" s="2" t="inlineStr">
        <is>
          <t>Марьинское</t>
        </is>
      </c>
      <c r="D55" s="2" t="n">
        <v>302</v>
      </c>
      <c r="E55" s="4" t="n">
        <v>1536.57</v>
      </c>
      <c r="F55" s="4" t="n">
        <v>507.6699999999999</v>
      </c>
      <c r="G55" s="2" t="inlineStr">
        <is>
          <t>before</t>
        </is>
      </c>
      <c r="H55" s="2" t="inlineStr">
        <is>
          <t>wet</t>
        </is>
      </c>
      <c r="I55" s="4" t="n">
        <v>13.34436952396335</v>
      </c>
      <c r="J55" s="5">
        <f>I55/100</f>
        <v/>
      </c>
      <c r="K55" s="4" t="n">
        <v>7.52142284506731</v>
      </c>
      <c r="L55" s="4" t="n">
        <v>2.343993075463318</v>
      </c>
      <c r="M55" s="4" t="n">
        <v>2.704951845121611</v>
      </c>
      <c r="N55" s="4" t="n">
        <v>2.34</v>
      </c>
      <c r="O55" s="7" t="n">
        <v>4829</v>
      </c>
      <c r="P55" s="7" t="n">
        <v>2449</v>
      </c>
      <c r="Q55" s="4" t="n">
        <v>13.72</v>
      </c>
      <c r="R55" s="2" t="n">
        <v>16</v>
      </c>
      <c r="S55" s="2" t="inlineStr"/>
    </row>
    <row r="56">
      <c r="A56" s="2" t="n">
        <v>11</v>
      </c>
      <c r="B56" s="2" t="inlineStr">
        <is>
          <t>20.2</t>
        </is>
      </c>
      <c r="C56" s="2" t="inlineStr">
        <is>
          <t>Марьинское</t>
        </is>
      </c>
      <c r="D56" s="2" t="n">
        <v>302</v>
      </c>
      <c r="E56" s="4" t="n">
        <v>1536.57</v>
      </c>
      <c r="F56" s="4" t="n">
        <v>507.6699999999999</v>
      </c>
      <c r="G56" s="2" t="inlineStr">
        <is>
          <t>after</t>
        </is>
      </c>
      <c r="H56" s="2" t="inlineStr">
        <is>
          <t>dry</t>
        </is>
      </c>
      <c r="I56" s="4" t="n">
        <v>14.69721767594111</v>
      </c>
      <c r="J56" s="5">
        <f>I56/100</f>
        <v/>
      </c>
      <c r="K56" s="6" t="n"/>
      <c r="L56" s="4" t="n">
        <v>2.3</v>
      </c>
      <c r="M56" s="4" t="n">
        <v>2.7</v>
      </c>
      <c r="N56" s="4" t="n">
        <v>1.57</v>
      </c>
      <c r="O56" s="7" t="n">
        <v>3043</v>
      </c>
      <c r="P56" s="7" t="n">
        <v>1817</v>
      </c>
      <c r="Q56" s="6" t="n"/>
      <c r="R56" s="2" t="n">
        <v>16</v>
      </c>
      <c r="S56" s="2" t="inlineStr"/>
    </row>
    <row r="57">
      <c r="A57" s="2" t="n">
        <v>11</v>
      </c>
      <c r="B57" s="2" t="inlineStr">
        <is>
          <t>20.2</t>
        </is>
      </c>
      <c r="C57" s="2" t="inlineStr">
        <is>
          <t>Марьинское</t>
        </is>
      </c>
      <c r="D57" s="2" t="n">
        <v>302</v>
      </c>
      <c r="E57" s="4" t="n">
        <v>1536.57</v>
      </c>
      <c r="F57" s="4" t="n">
        <v>507.6699999999999</v>
      </c>
      <c r="G57" s="2" t="inlineStr">
        <is>
          <t>after</t>
        </is>
      </c>
      <c r="H57" s="2" t="inlineStr">
        <is>
          <t>wet</t>
        </is>
      </c>
      <c r="I57" s="4" t="n">
        <v>14.69721767594111</v>
      </c>
      <c r="J57" s="5">
        <f>I57/100</f>
        <v/>
      </c>
      <c r="K57" s="6" t="n"/>
      <c r="L57" s="4" t="n">
        <v>2.3</v>
      </c>
      <c r="M57" s="4" t="n">
        <v>2.7</v>
      </c>
      <c r="N57" s="4" t="n">
        <v>2.37</v>
      </c>
      <c r="O57" s="7" t="n">
        <v>3707</v>
      </c>
      <c r="P57" s="7" t="n">
        <v>1915</v>
      </c>
      <c r="Q57" s="4" t="n">
        <v>6.77</v>
      </c>
      <c r="R57" s="2" t="n">
        <v>16</v>
      </c>
      <c r="S57" s="2" t="inlineStr"/>
    </row>
    <row r="58">
      <c r="A58" s="2" t="n">
        <v>17</v>
      </c>
      <c r="B58" s="2" t="inlineStr">
        <is>
          <t>25</t>
        </is>
      </c>
      <c r="C58" s="2" t="inlineStr">
        <is>
          <t>Марьинское</t>
        </is>
      </c>
      <c r="D58" s="2" t="n">
        <v>302</v>
      </c>
      <c r="E58" s="4" t="n">
        <v>1537.54</v>
      </c>
      <c r="F58" s="4" t="n">
        <v>553.29</v>
      </c>
      <c r="G58" s="2" t="inlineStr">
        <is>
          <t>before</t>
        </is>
      </c>
      <c r="H58" s="2" t="inlineStr">
        <is>
          <t>dry</t>
        </is>
      </c>
      <c r="I58" s="4" t="n">
        <v>13.33580980683507</v>
      </c>
      <c r="J58" s="5">
        <f>I58/100</f>
        <v/>
      </c>
      <c r="K58" s="4" t="n">
        <v>7.498794750952421</v>
      </c>
      <c r="L58" s="4" t="n">
        <v>2.33921353640416</v>
      </c>
      <c r="M58" s="4" t="n">
        <v>2.69916966995285</v>
      </c>
      <c r="N58" s="4" t="n">
        <v>1.83</v>
      </c>
      <c r="O58" s="7" t="n">
        <v>4285</v>
      </c>
      <c r="P58" s="7" t="n">
        <v>2487</v>
      </c>
      <c r="Q58" s="6" t="n"/>
      <c r="R58" s="2" t="n">
        <v>17</v>
      </c>
      <c r="S58" s="2" t="inlineStr"/>
    </row>
    <row r="59">
      <c r="A59" s="2" t="n">
        <v>17</v>
      </c>
      <c r="B59" s="2" t="inlineStr">
        <is>
          <t>25</t>
        </is>
      </c>
      <c r="C59" s="2" t="inlineStr">
        <is>
          <t>Марьинское</t>
        </is>
      </c>
      <c r="D59" s="2" t="n">
        <v>302</v>
      </c>
      <c r="E59" s="4" t="n">
        <v>1537.54</v>
      </c>
      <c r="F59" s="4" t="n">
        <v>553.29</v>
      </c>
      <c r="G59" s="2" t="inlineStr">
        <is>
          <t>before</t>
        </is>
      </c>
      <c r="H59" s="2" t="inlineStr">
        <is>
          <t>wet</t>
        </is>
      </c>
      <c r="I59" s="4" t="n">
        <v>13.33580980683507</v>
      </c>
      <c r="J59" s="5">
        <f>I59/100</f>
        <v/>
      </c>
      <c r="K59" s="4" t="n">
        <v>7.498794750952421</v>
      </c>
      <c r="L59" s="4" t="n">
        <v>2.33921353640416</v>
      </c>
      <c r="M59" s="4" t="n">
        <v>2.69916966995285</v>
      </c>
      <c r="N59" s="4" t="n">
        <v>2.45</v>
      </c>
      <c r="O59" s="7" t="n">
        <v>4587</v>
      </c>
      <c r="P59" s="7" t="n">
        <v>2506</v>
      </c>
      <c r="Q59" s="4" t="n">
        <v>12.29</v>
      </c>
      <c r="R59" s="2" t="n">
        <v>17</v>
      </c>
      <c r="S59" s="2" t="inlineStr"/>
    </row>
    <row r="60">
      <c r="A60" s="2" t="n">
        <v>17</v>
      </c>
      <c r="B60" s="2" t="inlineStr">
        <is>
          <t>25</t>
        </is>
      </c>
      <c r="C60" s="2" t="inlineStr">
        <is>
          <t>Марьинское</t>
        </is>
      </c>
      <c r="D60" s="2" t="n">
        <v>302</v>
      </c>
      <c r="E60" s="4" t="n">
        <v>1537.54</v>
      </c>
      <c r="F60" s="4" t="n">
        <v>553.29</v>
      </c>
      <c r="G60" s="2" t="inlineStr">
        <is>
          <t>after</t>
        </is>
      </c>
      <c r="H60" s="2" t="inlineStr">
        <is>
          <t>dry</t>
        </is>
      </c>
      <c r="I60" s="4" t="n">
        <v>14.62200090538705</v>
      </c>
      <c r="J60" s="5">
        <f>I60/100</f>
        <v/>
      </c>
      <c r="K60" s="6" t="n"/>
      <c r="L60" s="4" t="n">
        <v>2.3</v>
      </c>
      <c r="M60" s="4" t="n">
        <v>2.69</v>
      </c>
      <c r="N60" s="4" t="n">
        <v>1.62</v>
      </c>
      <c r="O60" s="7" t="n">
        <v>2870</v>
      </c>
      <c r="P60" s="7" t="n">
        <v>1696</v>
      </c>
      <c r="Q60" s="6" t="n"/>
      <c r="R60" s="2" t="n">
        <v>17</v>
      </c>
      <c r="S60" s="2" t="inlineStr"/>
    </row>
    <row r="61">
      <c r="A61" s="2" t="n">
        <v>17</v>
      </c>
      <c r="B61" s="2" t="inlineStr">
        <is>
          <t>25</t>
        </is>
      </c>
      <c r="C61" s="2" t="inlineStr">
        <is>
          <t>Марьинское</t>
        </is>
      </c>
      <c r="D61" s="2" t="n">
        <v>302</v>
      </c>
      <c r="E61" s="4" t="n">
        <v>1537.54</v>
      </c>
      <c r="F61" s="4" t="n">
        <v>553.29</v>
      </c>
      <c r="G61" s="2" t="inlineStr">
        <is>
          <t>after</t>
        </is>
      </c>
      <c r="H61" s="2" t="inlineStr">
        <is>
          <t>wet</t>
        </is>
      </c>
      <c r="I61" s="4" t="n">
        <v>14.62200090538705</v>
      </c>
      <c r="J61" s="5">
        <f>I61/100</f>
        <v/>
      </c>
      <c r="K61" s="6" t="n"/>
      <c r="L61" s="4" t="n">
        <v>2.3</v>
      </c>
      <c r="M61" s="4" t="n">
        <v>2.69</v>
      </c>
      <c r="N61" s="4" t="n">
        <v>2.39</v>
      </c>
      <c r="O61" s="7" t="n">
        <v>3334</v>
      </c>
      <c r="P61" s="7" t="n">
        <v>1688</v>
      </c>
      <c r="Q61" s="6" t="n"/>
      <c r="R61" s="2" t="n">
        <v>17</v>
      </c>
      <c r="S61" s="2" t="inlineStr"/>
    </row>
    <row r="62">
      <c r="A62" s="2" t="n">
        <v>15</v>
      </c>
      <c r="B62" s="2" t="inlineStr">
        <is>
          <t>21</t>
        </is>
      </c>
      <c r="C62" s="2" t="inlineStr">
        <is>
          <t>Марьинское</t>
        </is>
      </c>
      <c r="D62" s="2" t="n">
        <v>302</v>
      </c>
      <c r="E62" s="4" t="n">
        <v>1536.68</v>
      </c>
      <c r="F62" s="4" t="n">
        <v>600.355</v>
      </c>
      <c r="G62" s="2" t="inlineStr">
        <is>
          <t>before</t>
        </is>
      </c>
      <c r="H62" s="2" t="inlineStr">
        <is>
          <t>dry</t>
        </is>
      </c>
      <c r="I62" s="4" t="n">
        <v>13.01172909572453</v>
      </c>
      <c r="J62" s="5">
        <f>I62/100</f>
        <v/>
      </c>
      <c r="K62" s="4" t="n">
        <v>6.690348044960923</v>
      </c>
      <c r="L62" s="4" t="n">
        <v>2.352736072644722</v>
      </c>
      <c r="M62" s="4" t="n">
        <v>2.704658970901657</v>
      </c>
      <c r="N62" s="4" t="n">
        <v>1.94</v>
      </c>
      <c r="O62" s="7" t="n">
        <v>4619</v>
      </c>
      <c r="P62" s="7" t="n">
        <v>2809</v>
      </c>
      <c r="Q62" s="6" t="n"/>
      <c r="R62" s="2" t="n">
        <v>18</v>
      </c>
      <c r="S62" s="2" t="inlineStr"/>
    </row>
    <row r="63">
      <c r="A63" s="2" t="n">
        <v>15</v>
      </c>
      <c r="B63" s="2" t="inlineStr">
        <is>
          <t>21</t>
        </is>
      </c>
      <c r="C63" s="2" t="inlineStr">
        <is>
          <t>Марьинское</t>
        </is>
      </c>
      <c r="D63" s="2" t="n">
        <v>302</v>
      </c>
      <c r="E63" s="4" t="n">
        <v>1536.68</v>
      </c>
      <c r="F63" s="4" t="n">
        <v>600.355</v>
      </c>
      <c r="G63" s="2" t="inlineStr">
        <is>
          <t>before</t>
        </is>
      </c>
      <c r="H63" s="2" t="inlineStr">
        <is>
          <t>wet</t>
        </is>
      </c>
      <c r="I63" s="4" t="n">
        <v>13.01172909572453</v>
      </c>
      <c r="J63" s="5">
        <f>I63/100</f>
        <v/>
      </c>
      <c r="K63" s="4" t="n">
        <v>6.690348044960923</v>
      </c>
      <c r="L63" s="4" t="n">
        <v>2.352736072644722</v>
      </c>
      <c r="M63" s="4" t="n">
        <v>2.704658970901657</v>
      </c>
      <c r="N63" s="4" t="n">
        <v>2.37</v>
      </c>
      <c r="O63" s="7" t="n">
        <v>4713</v>
      </c>
      <c r="P63" s="7" t="n">
        <v>2750</v>
      </c>
      <c r="Q63" s="6" t="n"/>
      <c r="R63" s="2" t="n">
        <v>18</v>
      </c>
      <c r="S63" s="2" t="inlineStr"/>
    </row>
    <row r="64">
      <c r="A64" s="2" t="n">
        <v>15</v>
      </c>
      <c r="B64" s="2" t="inlineStr">
        <is>
          <t>21</t>
        </is>
      </c>
      <c r="C64" s="2" t="inlineStr">
        <is>
          <t>Марьинское</t>
        </is>
      </c>
      <c r="D64" s="2" t="n">
        <v>302</v>
      </c>
      <c r="E64" s="4" t="n">
        <v>1536.68</v>
      </c>
      <c r="F64" s="4" t="n">
        <v>600.355</v>
      </c>
      <c r="G64" s="2" t="inlineStr">
        <is>
          <t>after</t>
        </is>
      </c>
      <c r="H64" s="2" t="inlineStr">
        <is>
          <t>dry</t>
        </is>
      </c>
      <c r="I64" s="4" t="n">
        <v>14.1234264660731</v>
      </c>
      <c r="J64" s="5">
        <f>I64/100</f>
        <v/>
      </c>
      <c r="K64" s="6" t="n"/>
      <c r="L64" s="4" t="n">
        <v>2.32</v>
      </c>
      <c r="M64" s="4" t="n">
        <v>2.7</v>
      </c>
      <c r="N64" s="4" t="n">
        <v>1.62</v>
      </c>
      <c r="O64" s="7" t="n">
        <v>3266</v>
      </c>
      <c r="P64" s="7" t="n">
        <v>1940</v>
      </c>
      <c r="Q64" s="6" t="n"/>
      <c r="R64" s="2" t="n">
        <v>18</v>
      </c>
      <c r="S64" s="2" t="inlineStr"/>
    </row>
    <row r="65">
      <c r="A65" s="2" t="n">
        <v>15</v>
      </c>
      <c r="B65" s="2" t="inlineStr">
        <is>
          <t>21</t>
        </is>
      </c>
      <c r="C65" s="2" t="inlineStr">
        <is>
          <t>Марьинское</t>
        </is>
      </c>
      <c r="D65" s="2" t="n">
        <v>302</v>
      </c>
      <c r="E65" s="4" t="n">
        <v>1536.68</v>
      </c>
      <c r="F65" s="4" t="n">
        <v>600.355</v>
      </c>
      <c r="G65" s="2" t="inlineStr">
        <is>
          <t>after</t>
        </is>
      </c>
      <c r="H65" s="2" t="inlineStr">
        <is>
          <t>wet</t>
        </is>
      </c>
      <c r="I65" s="4" t="n">
        <v>14.1234264660731</v>
      </c>
      <c r="J65" s="5">
        <f>I65/100</f>
        <v/>
      </c>
      <c r="K65" s="6" t="n"/>
      <c r="L65" s="4" t="n">
        <v>2.32</v>
      </c>
      <c r="M65" s="4" t="n">
        <v>2.7</v>
      </c>
      <c r="N65" s="4" t="n">
        <v>2.42</v>
      </c>
      <c r="O65" s="7" t="n">
        <v>3867</v>
      </c>
      <c r="P65" s="7" t="n">
        <v>2028</v>
      </c>
      <c r="Q65" s="4" t="n">
        <v>7.68</v>
      </c>
      <c r="R65" s="2" t="n">
        <v>18</v>
      </c>
      <c r="S65" s="2" t="inlineStr"/>
    </row>
    <row r="66">
      <c r="A66" s="2" t="n">
        <v>18</v>
      </c>
      <c r="B66" s="2" t="inlineStr">
        <is>
          <t>11.2</t>
        </is>
      </c>
      <c r="C66" s="2" t="inlineStr">
        <is>
          <t>Марьинское</t>
        </is>
      </c>
      <c r="D66" s="2" t="n">
        <v>302</v>
      </c>
      <c r="E66" s="4" t="n">
        <v>1535.12</v>
      </c>
      <c r="F66" s="4" t="n">
        <v>649.75</v>
      </c>
      <c r="G66" s="2" t="inlineStr">
        <is>
          <t>before</t>
        </is>
      </c>
      <c r="H66" s="2" t="inlineStr">
        <is>
          <t>dry</t>
        </is>
      </c>
      <c r="I66" s="4" t="n">
        <v>12.91514143094839</v>
      </c>
      <c r="J66" s="5">
        <f>I66/100</f>
        <v/>
      </c>
      <c r="K66" s="4" t="n">
        <v>6.466707161334075</v>
      </c>
      <c r="L66" s="4" t="n">
        <v>2.345946768718802</v>
      </c>
      <c r="M66" s="4" t="n">
        <v>2.69386298291872</v>
      </c>
      <c r="N66" s="4" t="n">
        <v>1.93</v>
      </c>
      <c r="O66" s="7" t="n">
        <v>4684</v>
      </c>
      <c r="P66" s="7" t="n">
        <v>2699</v>
      </c>
      <c r="Q66" s="6" t="n"/>
      <c r="R66" s="2" t="n">
        <v>19</v>
      </c>
      <c r="S66" s="2" t="inlineStr"/>
    </row>
    <row r="67">
      <c r="A67" s="2" t="n">
        <v>18</v>
      </c>
      <c r="B67" s="2" t="inlineStr">
        <is>
          <t>11.2</t>
        </is>
      </c>
      <c r="C67" s="2" t="inlineStr">
        <is>
          <t>Марьинское</t>
        </is>
      </c>
      <c r="D67" s="2" t="n">
        <v>302</v>
      </c>
      <c r="E67" s="4" t="n">
        <v>1535.12</v>
      </c>
      <c r="F67" s="4" t="n">
        <v>649.75</v>
      </c>
      <c r="G67" s="2" t="inlineStr">
        <is>
          <t>before</t>
        </is>
      </c>
      <c r="H67" s="2" t="inlineStr">
        <is>
          <t>wet</t>
        </is>
      </c>
      <c r="I67" s="4" t="n">
        <v>12.91514143094839</v>
      </c>
      <c r="J67" s="5">
        <f>I67/100</f>
        <v/>
      </c>
      <c r="K67" s="4" t="n">
        <v>6.466707161334075</v>
      </c>
      <c r="L67" s="4" t="n">
        <v>2.345946768718802</v>
      </c>
      <c r="M67" s="4" t="n">
        <v>2.69386298291872</v>
      </c>
      <c r="N67" s="4" t="n">
        <v>2.34</v>
      </c>
      <c r="O67" s="7" t="n">
        <v>5134</v>
      </c>
      <c r="P67" s="7" t="n">
        <v>2733</v>
      </c>
      <c r="Q67" s="4" t="n">
        <v>20.93</v>
      </c>
      <c r="R67" s="2" t="n">
        <v>19</v>
      </c>
      <c r="S67" s="2" t="inlineStr"/>
    </row>
    <row r="68">
      <c r="A68" s="2" t="n">
        <v>18</v>
      </c>
      <c r="B68" s="2" t="inlineStr">
        <is>
          <t>11.2</t>
        </is>
      </c>
      <c r="C68" s="2" t="inlineStr">
        <is>
          <t>Марьинское</t>
        </is>
      </c>
      <c r="D68" s="2" t="n">
        <v>302</v>
      </c>
      <c r="E68" s="4" t="n">
        <v>1535.12</v>
      </c>
      <c r="F68" s="4" t="n">
        <v>649.75</v>
      </c>
      <c r="G68" s="2" t="inlineStr">
        <is>
          <t>after</t>
        </is>
      </c>
      <c r="H68" s="2" t="inlineStr">
        <is>
          <t>dry</t>
        </is>
      </c>
      <c r="I68" s="4" t="n">
        <v>13.93728222996517</v>
      </c>
      <c r="J68" s="5">
        <f>I68/100</f>
        <v/>
      </c>
      <c r="K68" s="6" t="n"/>
      <c r="L68" s="4" t="n">
        <v>2.31</v>
      </c>
      <c r="M68" s="4" t="n">
        <v>2.69</v>
      </c>
      <c r="N68" s="4" t="n">
        <v>1.82</v>
      </c>
      <c r="O68" s="7" t="n">
        <v>3558</v>
      </c>
      <c r="P68" s="7" t="n">
        <v>2185</v>
      </c>
      <c r="Q68" s="6" t="n"/>
      <c r="R68" s="2" t="n">
        <v>19</v>
      </c>
      <c r="S68" s="2" t="inlineStr"/>
    </row>
    <row r="69">
      <c r="A69" s="2" t="n">
        <v>18</v>
      </c>
      <c r="B69" s="2" t="inlineStr">
        <is>
          <t>11.2</t>
        </is>
      </c>
      <c r="C69" s="2" t="inlineStr">
        <is>
          <t>Марьинское</t>
        </is>
      </c>
      <c r="D69" s="2" t="n">
        <v>302</v>
      </c>
      <c r="E69" s="4" t="n">
        <v>1535.12</v>
      </c>
      <c r="F69" s="4" t="n">
        <v>649.75</v>
      </c>
      <c r="G69" s="2" t="inlineStr">
        <is>
          <t>after</t>
        </is>
      </c>
      <c r="H69" s="2" t="inlineStr">
        <is>
          <t>wet</t>
        </is>
      </c>
      <c r="I69" s="4" t="n">
        <v>13.93728222996517</v>
      </c>
      <c r="J69" s="5">
        <f>I69/100</f>
        <v/>
      </c>
      <c r="K69" s="6" t="n"/>
      <c r="L69" s="4" t="n">
        <v>2.31</v>
      </c>
      <c r="M69" s="4" t="n">
        <v>2.69</v>
      </c>
      <c r="N69" s="4" t="n">
        <v>2.34</v>
      </c>
      <c r="O69" s="7" t="n">
        <v>4171</v>
      </c>
      <c r="P69" s="7" t="n">
        <v>2184</v>
      </c>
      <c r="Q69" s="4" t="n">
        <v>12.41</v>
      </c>
      <c r="R69" s="2" t="n">
        <v>19</v>
      </c>
      <c r="S69" s="2" t="inlineStr"/>
    </row>
    <row r="70">
      <c r="A70" s="2" t="n">
        <v>16</v>
      </c>
      <c r="B70" s="2" t="inlineStr">
        <is>
          <t>22.2</t>
        </is>
      </c>
      <c r="C70" s="2" t="inlineStr">
        <is>
          <t>Марьинское</t>
        </is>
      </c>
      <c r="D70" s="2" t="n">
        <v>302</v>
      </c>
      <c r="E70" s="4" t="n">
        <v>1536.91</v>
      </c>
      <c r="F70" s="4" t="n">
        <v>691.74</v>
      </c>
      <c r="G70" s="2" t="inlineStr">
        <is>
          <t>before</t>
        </is>
      </c>
      <c r="H70" s="2" t="inlineStr">
        <is>
          <t>dry</t>
        </is>
      </c>
      <c r="I70" s="4" t="n">
        <v>11.87056100869845</v>
      </c>
      <c r="J70" s="5">
        <f>I70/100</f>
        <v/>
      </c>
      <c r="K70" s="4" t="n">
        <v>4.477096487341283</v>
      </c>
      <c r="L70" s="4" t="n">
        <v>2.390246408905913</v>
      </c>
      <c r="M70" s="4" t="n">
        <v>2.712199732874542</v>
      </c>
      <c r="N70" s="4" t="n">
        <v>1.99</v>
      </c>
      <c r="O70" s="7" t="n">
        <v>4508</v>
      </c>
      <c r="P70" s="7" t="n">
        <v>2707</v>
      </c>
      <c r="Q70" s="6" t="n"/>
      <c r="R70" s="2" t="n">
        <v>20</v>
      </c>
      <c r="S70" s="2" t="inlineStr"/>
    </row>
    <row r="71">
      <c r="A71" s="2" t="n">
        <v>16</v>
      </c>
      <c r="B71" s="2" t="inlineStr">
        <is>
          <t>22.2</t>
        </is>
      </c>
      <c r="C71" s="2" t="inlineStr">
        <is>
          <t>Марьинское</t>
        </is>
      </c>
      <c r="D71" s="2" t="n">
        <v>302</v>
      </c>
      <c r="E71" s="4" t="n">
        <v>1536.91</v>
      </c>
      <c r="F71" s="4" t="n">
        <v>691.74</v>
      </c>
      <c r="G71" s="2" t="inlineStr">
        <is>
          <t>before</t>
        </is>
      </c>
      <c r="H71" s="2" t="inlineStr">
        <is>
          <t>wet</t>
        </is>
      </c>
      <c r="I71" s="4" t="n">
        <v>11.87056100869845</v>
      </c>
      <c r="J71" s="5">
        <f>I71/100</f>
        <v/>
      </c>
      <c r="K71" s="4" t="n">
        <v>4.477096487341283</v>
      </c>
      <c r="L71" s="4" t="n">
        <v>2.390246408905913</v>
      </c>
      <c r="M71" s="4" t="n">
        <v>2.712199732874542</v>
      </c>
      <c r="N71" s="4" t="n">
        <v>2.46</v>
      </c>
      <c r="O71" s="7" t="n">
        <v>4913</v>
      </c>
      <c r="P71" s="7" t="n">
        <v>2642</v>
      </c>
      <c r="Q71" s="4" t="n">
        <v>14.41</v>
      </c>
      <c r="R71" s="2" t="n">
        <v>20</v>
      </c>
      <c r="S71" s="2" t="inlineStr"/>
    </row>
    <row r="72">
      <c r="A72" s="2" t="n">
        <v>16</v>
      </c>
      <c r="B72" s="2" t="inlineStr">
        <is>
          <t>22.2</t>
        </is>
      </c>
      <c r="C72" s="2" t="inlineStr">
        <is>
          <t>Марьинское</t>
        </is>
      </c>
      <c r="D72" s="2" t="n">
        <v>302</v>
      </c>
      <c r="E72" s="4" t="n">
        <v>1536.91</v>
      </c>
      <c r="F72" s="4" t="n">
        <v>691.74</v>
      </c>
      <c r="G72" s="2" t="inlineStr">
        <is>
          <t>after</t>
        </is>
      </c>
      <c r="H72" s="2" t="inlineStr">
        <is>
          <t>dry</t>
        </is>
      </c>
      <c r="I72" s="4" t="n">
        <v>12.20271800679502</v>
      </c>
      <c r="J72" s="5">
        <f>I72/100</f>
        <v/>
      </c>
      <c r="K72" s="6" t="n"/>
      <c r="L72" s="4" t="n">
        <v>2.38</v>
      </c>
      <c r="M72" s="4" t="n">
        <v>2.71</v>
      </c>
      <c r="N72" s="4" t="n">
        <v>1.93</v>
      </c>
      <c r="O72" s="7" t="n">
        <v>4404</v>
      </c>
      <c r="P72" s="7" t="n">
        <v>2561</v>
      </c>
      <c r="Q72" s="6" t="n"/>
      <c r="R72" s="2" t="n">
        <v>20</v>
      </c>
      <c r="S72" s="2" t="inlineStr"/>
    </row>
    <row r="73">
      <c r="A73" s="2" t="n">
        <v>16</v>
      </c>
      <c r="B73" s="2" t="inlineStr">
        <is>
          <t>22.2</t>
        </is>
      </c>
      <c r="C73" s="2" t="inlineStr">
        <is>
          <t>Марьинское</t>
        </is>
      </c>
      <c r="D73" s="2" t="n">
        <v>302</v>
      </c>
      <c r="E73" s="4" t="n">
        <v>1536.91</v>
      </c>
      <c r="F73" s="4" t="n">
        <v>691.74</v>
      </c>
      <c r="G73" s="2" t="inlineStr">
        <is>
          <t>after</t>
        </is>
      </c>
      <c r="H73" s="2" t="inlineStr">
        <is>
          <t>wet</t>
        </is>
      </c>
      <c r="I73" s="4" t="n">
        <v>12.20271800679502</v>
      </c>
      <c r="J73" s="5">
        <f>I73/100</f>
        <v/>
      </c>
      <c r="K73" s="6" t="n"/>
      <c r="L73" s="4" t="n">
        <v>2.38</v>
      </c>
      <c r="M73" s="4" t="n">
        <v>2.71</v>
      </c>
      <c r="N73" s="4" t="n">
        <v>2.34</v>
      </c>
      <c r="O73" s="7" t="n">
        <v>4875</v>
      </c>
      <c r="P73" s="7" t="n">
        <v>2561</v>
      </c>
      <c r="Q73" s="6" t="n"/>
      <c r="R73" s="2" t="n">
        <v>20</v>
      </c>
      <c r="S73" s="2" t="inlineStr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0" customWidth="1" min="4" max="4"/>
    <col width="45" customWidth="1" min="5" max="5"/>
  </cols>
  <sheetData>
    <row r="1">
      <c r="A1" s="3" t="inlineStr">
        <is>
          <t>section</t>
        </is>
      </c>
      <c r="B1" s="3" t="inlineStr">
        <is>
          <t>parameter</t>
        </is>
      </c>
      <c r="C1" s="3" t="inlineStr">
        <is>
          <t>value</t>
        </is>
      </c>
      <c r="D1" s="3" t="inlineStr">
        <is>
          <t>unit</t>
        </is>
      </c>
      <c r="E1" s="3" t="inlineStr">
        <is>
          <t>note</t>
        </is>
      </c>
    </row>
    <row r="2">
      <c r="A2" s="2" t="inlineStr">
        <is>
          <t>heating_zone</t>
        </is>
      </c>
      <c r="B2" s="2" t="inlineStr">
        <is>
          <t>zone_name</t>
        </is>
      </c>
      <c r="C2" s="2" t="inlineStr">
        <is>
          <t>Ign</t>
        </is>
      </c>
      <c r="D2" s="2" t="inlineStr"/>
      <c r="E2" s="2" t="inlineStr"/>
    </row>
    <row r="3">
      <c r="A3" s="2" t="inlineStr">
        <is>
          <t>heating_zone</t>
        </is>
      </c>
      <c r="B3" s="2" t="inlineStr">
        <is>
          <t>temperature</t>
        </is>
      </c>
      <c r="C3" s="2" t="n">
        <v>397.354</v>
      </c>
      <c r="D3" s="2" t="inlineStr">
        <is>
          <t>C</t>
        </is>
      </c>
      <c r="E3" s="2" t="inlineStr">
        <is>
          <t>Ign</t>
        </is>
      </c>
    </row>
    <row r="4">
      <c r="A4" s="2" t="inlineStr">
        <is>
          <t>heating_zone</t>
        </is>
      </c>
      <c r="B4" s="2" t="inlineStr">
        <is>
          <t>duration</t>
        </is>
      </c>
      <c r="C4" s="2" t="n">
        <v>3.573</v>
      </c>
      <c r="D4" s="2" t="inlineStr">
        <is>
          <t>h</t>
        </is>
      </c>
      <c r="E4" s="2" t="inlineStr">
        <is>
          <t>Ign</t>
        </is>
      </c>
    </row>
    <row r="5">
      <c r="A5" s="2" t="inlineStr">
        <is>
          <t>heating_zone</t>
        </is>
      </c>
      <c r="B5" s="2" t="inlineStr">
        <is>
          <t>distance</t>
        </is>
      </c>
      <c r="C5" s="2" t="n">
        <v>80</v>
      </c>
      <c r="D5" s="2" t="inlineStr">
        <is>
          <t>mm</t>
        </is>
      </c>
      <c r="E5" s="2" t="inlineStr">
        <is>
          <t>Ign</t>
        </is>
      </c>
    </row>
    <row r="6">
      <c r="A6" s="2" t="inlineStr">
        <is>
          <t>heating_zone</t>
        </is>
      </c>
      <c r="B6" s="2" t="inlineStr">
        <is>
          <t>zone_name</t>
        </is>
      </c>
      <c r="C6" s="2" t="inlineStr">
        <is>
          <t>Зона 1</t>
        </is>
      </c>
      <c r="D6" s="2" t="inlineStr"/>
      <c r="E6" s="2" t="inlineStr"/>
    </row>
    <row r="7">
      <c r="A7" s="2" t="inlineStr">
        <is>
          <t>heating_zone</t>
        </is>
      </c>
      <c r="B7" s="2" t="inlineStr">
        <is>
          <t>temperature</t>
        </is>
      </c>
      <c r="C7" s="2" t="n">
        <v>480.922</v>
      </c>
      <c r="D7" s="2" t="inlineStr">
        <is>
          <t>C</t>
        </is>
      </c>
      <c r="E7" s="2" t="inlineStr">
        <is>
          <t>Зона 1</t>
        </is>
      </c>
    </row>
    <row r="8">
      <c r="A8" s="2" t="inlineStr">
        <is>
          <t>heating_zone</t>
        </is>
      </c>
      <c r="B8" s="2" t="inlineStr">
        <is>
          <t>duration</t>
        </is>
      </c>
      <c r="C8" s="2" t="n">
        <v>3.405</v>
      </c>
      <c r="D8" s="2" t="inlineStr">
        <is>
          <t>h</t>
        </is>
      </c>
      <c r="E8" s="2" t="inlineStr">
        <is>
          <t>Зона 1</t>
        </is>
      </c>
    </row>
    <row r="9">
      <c r="A9" s="2" t="inlineStr">
        <is>
          <t>heating_zone</t>
        </is>
      </c>
      <c r="B9" s="2" t="inlineStr">
        <is>
          <t>distance</t>
        </is>
      </c>
      <c r="C9" s="2" t="n">
        <v>156</v>
      </c>
      <c r="D9" s="2" t="inlineStr">
        <is>
          <t>mm</t>
        </is>
      </c>
      <c r="E9" s="2" t="inlineStr">
        <is>
          <t>Зона 1</t>
        </is>
      </c>
    </row>
    <row r="10">
      <c r="A10" s="2" t="inlineStr">
        <is>
          <t>heating_zone</t>
        </is>
      </c>
      <c r="B10" s="2" t="inlineStr">
        <is>
          <t>zone_name</t>
        </is>
      </c>
      <c r="C10" s="2" t="inlineStr">
        <is>
          <t>Зона 2</t>
        </is>
      </c>
      <c r="D10" s="2" t="inlineStr"/>
      <c r="E10" s="2" t="inlineStr"/>
    </row>
    <row r="11">
      <c r="A11" s="2" t="inlineStr">
        <is>
          <t>heating_zone</t>
        </is>
      </c>
      <c r="B11" s="2" t="inlineStr">
        <is>
          <t>temperature</t>
        </is>
      </c>
      <c r="C11" s="2" t="n">
        <v>467.527</v>
      </c>
      <c r="D11" s="2" t="inlineStr">
        <is>
          <t>C</t>
        </is>
      </c>
      <c r="E11" s="2" t="inlineStr">
        <is>
          <t>Зона 2</t>
        </is>
      </c>
    </row>
    <row r="12">
      <c r="A12" s="2" t="inlineStr">
        <is>
          <t>heating_zone</t>
        </is>
      </c>
      <c r="B12" s="2" t="inlineStr">
        <is>
          <t>duration</t>
        </is>
      </c>
      <c r="C12" s="2" t="n">
        <v>2.952</v>
      </c>
      <c r="D12" s="2" t="inlineStr">
        <is>
          <t>h</t>
        </is>
      </c>
      <c r="E12" s="2" t="inlineStr">
        <is>
          <t>Зона 2</t>
        </is>
      </c>
    </row>
    <row r="13">
      <c r="A13" s="2" t="inlineStr">
        <is>
          <t>heating_zone</t>
        </is>
      </c>
      <c r="B13" s="2" t="inlineStr">
        <is>
          <t>distance</t>
        </is>
      </c>
      <c r="C13" s="2" t="n">
        <v>232</v>
      </c>
      <c r="D13" s="2" t="inlineStr">
        <is>
          <t>mm</t>
        </is>
      </c>
      <c r="E13" s="2" t="inlineStr">
        <is>
          <t>Зона 2</t>
        </is>
      </c>
    </row>
    <row r="14">
      <c r="A14" s="2" t="inlineStr">
        <is>
          <t>heating_zone</t>
        </is>
      </c>
      <c r="B14" s="2" t="inlineStr">
        <is>
          <t>zone_name</t>
        </is>
      </c>
      <c r="C14" s="2" t="inlineStr">
        <is>
          <t>Зона 3</t>
        </is>
      </c>
      <c r="D14" s="2" t="inlineStr"/>
      <c r="E14" s="2" t="inlineStr"/>
    </row>
    <row r="15">
      <c r="A15" s="2" t="inlineStr">
        <is>
          <t>heating_zone</t>
        </is>
      </c>
      <c r="B15" s="2" t="inlineStr">
        <is>
          <t>temperature</t>
        </is>
      </c>
      <c r="C15" s="2" t="n">
        <v>439.504</v>
      </c>
      <c r="D15" s="2" t="inlineStr">
        <is>
          <t>C</t>
        </is>
      </c>
      <c r="E15" s="2" t="inlineStr">
        <is>
          <t>Зона 3</t>
        </is>
      </c>
    </row>
    <row r="16">
      <c r="A16" s="2" t="inlineStr">
        <is>
          <t>heating_zone</t>
        </is>
      </c>
      <c r="B16" s="2" t="inlineStr">
        <is>
          <t>duration</t>
        </is>
      </c>
      <c r="C16" s="2" t="n">
        <v>4.059</v>
      </c>
      <c r="D16" s="2" t="inlineStr">
        <is>
          <t>h</t>
        </is>
      </c>
      <c r="E16" s="2" t="inlineStr">
        <is>
          <t>Зона 3</t>
        </is>
      </c>
    </row>
    <row r="17">
      <c r="A17" s="2" t="inlineStr">
        <is>
          <t>heating_zone</t>
        </is>
      </c>
      <c r="B17" s="2" t="inlineStr">
        <is>
          <t>distance</t>
        </is>
      </c>
      <c r="C17" s="2" t="n">
        <v>308</v>
      </c>
      <c r="D17" s="2" t="inlineStr">
        <is>
          <t>mm</t>
        </is>
      </c>
      <c r="E17" s="2" t="inlineStr">
        <is>
          <t>Зона 3</t>
        </is>
      </c>
    </row>
    <row r="18">
      <c r="A18" s="2" t="inlineStr">
        <is>
          <t>heating_zone</t>
        </is>
      </c>
      <c r="B18" s="2" t="inlineStr">
        <is>
          <t>zone_name</t>
        </is>
      </c>
      <c r="C18" s="2" t="inlineStr">
        <is>
          <t>Зона 4</t>
        </is>
      </c>
      <c r="D18" s="2" t="inlineStr"/>
      <c r="E18" s="2" t="inlineStr"/>
    </row>
    <row r="19">
      <c r="A19" s="2" t="inlineStr">
        <is>
          <t>heating_zone</t>
        </is>
      </c>
      <c r="B19" s="2" t="inlineStr">
        <is>
          <t>temperature</t>
        </is>
      </c>
      <c r="C19" s="2" t="n">
        <v>410.893</v>
      </c>
      <c r="D19" s="2" t="inlineStr">
        <is>
          <t>C</t>
        </is>
      </c>
      <c r="E19" s="2" t="inlineStr">
        <is>
          <t>Зона 4</t>
        </is>
      </c>
    </row>
    <row r="20">
      <c r="A20" s="2" t="inlineStr">
        <is>
          <t>heating_zone</t>
        </is>
      </c>
      <c r="B20" s="2" t="inlineStr">
        <is>
          <t>duration</t>
        </is>
      </c>
      <c r="C20" s="2" t="n">
        <v>4.747</v>
      </c>
      <c r="D20" s="2" t="inlineStr">
        <is>
          <t>h</t>
        </is>
      </c>
      <c r="E20" s="2" t="inlineStr">
        <is>
          <t>Зона 4</t>
        </is>
      </c>
    </row>
    <row r="21">
      <c r="A21" s="2" t="inlineStr">
        <is>
          <t>heating_zone</t>
        </is>
      </c>
      <c r="B21" s="2" t="inlineStr">
        <is>
          <t>distance</t>
        </is>
      </c>
      <c r="C21" s="2" t="n">
        <v>384</v>
      </c>
      <c r="D21" s="2" t="inlineStr">
        <is>
          <t>mm</t>
        </is>
      </c>
      <c r="E21" s="2" t="inlineStr">
        <is>
          <t>Зона 4</t>
        </is>
      </c>
    </row>
    <row r="22">
      <c r="A22" s="2" t="inlineStr">
        <is>
          <t>heating_zone</t>
        </is>
      </c>
      <c r="B22" s="2" t="inlineStr">
        <is>
          <t>zone_name</t>
        </is>
      </c>
      <c r="C22" s="2" t="inlineStr">
        <is>
          <t>Зона 5</t>
        </is>
      </c>
      <c r="D22" s="2" t="inlineStr"/>
      <c r="E22" s="2" t="inlineStr"/>
    </row>
    <row r="23">
      <c r="A23" s="2" t="inlineStr">
        <is>
          <t>heating_zone</t>
        </is>
      </c>
      <c r="B23" s="2" t="inlineStr">
        <is>
          <t>temperature</t>
        </is>
      </c>
      <c r="C23" s="2" t="n">
        <v>401.076</v>
      </c>
      <c r="D23" s="2" t="inlineStr">
        <is>
          <t>C</t>
        </is>
      </c>
      <c r="E23" s="2" t="inlineStr">
        <is>
          <t>Зона 5</t>
        </is>
      </c>
    </row>
    <row r="24">
      <c r="A24" s="2" t="inlineStr">
        <is>
          <t>heating_zone</t>
        </is>
      </c>
      <c r="B24" s="2" t="inlineStr">
        <is>
          <t>duration</t>
        </is>
      </c>
      <c r="C24" s="2" t="n">
        <v>4.982</v>
      </c>
      <c r="D24" s="2" t="inlineStr">
        <is>
          <t>h</t>
        </is>
      </c>
      <c r="E24" s="2" t="inlineStr">
        <is>
          <t>Зона 5</t>
        </is>
      </c>
    </row>
    <row r="25">
      <c r="A25" s="2" t="inlineStr">
        <is>
          <t>heating_zone</t>
        </is>
      </c>
      <c r="B25" s="2" t="inlineStr">
        <is>
          <t>distance</t>
        </is>
      </c>
      <c r="C25" s="2" t="n">
        <v>460</v>
      </c>
      <c r="D25" s="2" t="inlineStr">
        <is>
          <t>mm</t>
        </is>
      </c>
      <c r="E25" s="2" t="inlineStr">
        <is>
          <t>Зона 5</t>
        </is>
      </c>
    </row>
    <row r="26">
      <c r="A26" s="2" t="inlineStr">
        <is>
          <t>heating_zone</t>
        </is>
      </c>
      <c r="B26" s="2" t="inlineStr">
        <is>
          <t>zone_name</t>
        </is>
      </c>
      <c r="C26" s="2" t="inlineStr">
        <is>
          <t>Зона 6</t>
        </is>
      </c>
      <c r="D26" s="2" t="inlineStr"/>
      <c r="E26" s="2" t="inlineStr"/>
    </row>
    <row r="27">
      <c r="A27" s="2" t="inlineStr">
        <is>
          <t>heating_zone</t>
        </is>
      </c>
      <c r="B27" s="2" t="inlineStr">
        <is>
          <t>temperature</t>
        </is>
      </c>
      <c r="C27" s="2" t="n">
        <v>438.451</v>
      </c>
      <c r="D27" s="2" t="inlineStr">
        <is>
          <t>C</t>
        </is>
      </c>
      <c r="E27" s="2" t="inlineStr">
        <is>
          <t>Зона 6</t>
        </is>
      </c>
    </row>
    <row r="28">
      <c r="A28" s="2" t="inlineStr">
        <is>
          <t>heating_zone</t>
        </is>
      </c>
      <c r="B28" s="2" t="inlineStr">
        <is>
          <t>duration</t>
        </is>
      </c>
      <c r="C28" s="2" t="n">
        <v>4.78</v>
      </c>
      <c r="D28" s="2" t="inlineStr">
        <is>
          <t>h</t>
        </is>
      </c>
      <c r="E28" s="2" t="inlineStr">
        <is>
          <t>Зона 6</t>
        </is>
      </c>
    </row>
    <row r="29">
      <c r="A29" s="2" t="inlineStr">
        <is>
          <t>heating_zone</t>
        </is>
      </c>
      <c r="B29" s="2" t="inlineStr">
        <is>
          <t>distance</t>
        </is>
      </c>
      <c r="C29" s="2" t="n">
        <v>536</v>
      </c>
      <c r="D29" s="2" t="inlineStr">
        <is>
          <t>mm</t>
        </is>
      </c>
      <c r="E29" s="2" t="inlineStr">
        <is>
          <t>Зона 6</t>
        </is>
      </c>
    </row>
    <row r="30">
      <c r="A30" s="2" t="inlineStr">
        <is>
          <t>heating_zone</t>
        </is>
      </c>
      <c r="B30" s="2" t="inlineStr">
        <is>
          <t>zone_name</t>
        </is>
      </c>
      <c r="C30" s="2" t="inlineStr">
        <is>
          <t>Зона 7</t>
        </is>
      </c>
      <c r="D30" s="2" t="inlineStr"/>
      <c r="E30" s="2" t="inlineStr"/>
    </row>
    <row r="31">
      <c r="A31" s="2" t="inlineStr">
        <is>
          <t>heating_zone</t>
        </is>
      </c>
      <c r="B31" s="2" t="inlineStr">
        <is>
          <t>temperature</t>
        </is>
      </c>
      <c r="C31" s="2" t="n">
        <v>424.047</v>
      </c>
      <c r="D31" s="2" t="inlineStr">
        <is>
          <t>C</t>
        </is>
      </c>
      <c r="E31" s="2" t="inlineStr">
        <is>
          <t>Зона 7</t>
        </is>
      </c>
    </row>
    <row r="32">
      <c r="A32" s="2" t="inlineStr">
        <is>
          <t>heating_zone</t>
        </is>
      </c>
      <c r="B32" s="2" t="inlineStr">
        <is>
          <t>duration</t>
        </is>
      </c>
      <c r="C32" s="2" t="n">
        <v>4.898</v>
      </c>
      <c r="D32" s="2" t="inlineStr">
        <is>
          <t>h</t>
        </is>
      </c>
      <c r="E32" s="2" t="inlineStr">
        <is>
          <t>Зона 7</t>
        </is>
      </c>
    </row>
    <row r="33">
      <c r="A33" s="2" t="inlineStr">
        <is>
          <t>heating_zone</t>
        </is>
      </c>
      <c r="B33" s="2" t="inlineStr">
        <is>
          <t>distance</t>
        </is>
      </c>
      <c r="C33" s="2" t="n">
        <v>612</v>
      </c>
      <c r="D33" s="2" t="inlineStr">
        <is>
          <t>mm</t>
        </is>
      </c>
      <c r="E33" s="2" t="inlineStr">
        <is>
          <t>Зона 7</t>
        </is>
      </c>
    </row>
    <row r="34">
      <c r="A34" s="2" t="inlineStr">
        <is>
          <t>brine_before</t>
        </is>
      </c>
      <c r="B34" s="2" t="inlineStr">
        <is>
          <t>fluid_density</t>
        </is>
      </c>
      <c r="C34" s="2" t="n">
        <v>1.01</v>
      </c>
      <c r="D34" s="2" t="inlineStr">
        <is>
          <t>g/cm3</t>
        </is>
      </c>
      <c r="E34" s="2" t="inlineStr">
        <is>
          <t>from original note "Для УЭС"</t>
        </is>
      </c>
    </row>
    <row r="35">
      <c r="A35" s="2" t="inlineStr">
        <is>
          <t>brine_before</t>
        </is>
      </c>
      <c r="B35" s="2" t="inlineStr">
        <is>
          <t>fluid_resistivity</t>
        </is>
      </c>
      <c r="C35" s="2" t="n">
        <v>0.32</v>
      </c>
      <c r="D35" s="2" t="inlineStr">
        <is>
          <t>ohm*m</t>
        </is>
      </c>
      <c r="E35" s="2" t="inlineStr">
        <is>
          <t>from original note "Для УЭС"</t>
        </is>
      </c>
    </row>
    <row r="36">
      <c r="A36" s="2" t="inlineStr">
        <is>
          <t>brine_before</t>
        </is>
      </c>
      <c r="B36" s="2" t="inlineStr">
        <is>
          <t>fluid_conductivity</t>
        </is>
      </c>
      <c r="C36" s="4">
        <f>IFERROR(1/C35,"")</f>
        <v/>
      </c>
      <c r="D36" s="2" t="inlineStr">
        <is>
          <t>S/m</t>
        </is>
      </c>
      <c r="E36" s="2" t="inlineStr">
        <is>
          <t>'=1/resistivity</t>
        </is>
      </c>
    </row>
    <row r="37">
      <c r="A37" s="2" t="inlineStr">
        <is>
          <t>brine_before</t>
        </is>
      </c>
      <c r="B37" s="2" t="inlineStr">
        <is>
          <t>fluid_temperature</t>
        </is>
      </c>
      <c r="C37" s="2" t="n">
        <v>23</v>
      </c>
      <c r="D37" s="2" t="inlineStr">
        <is>
          <t>C</t>
        </is>
      </c>
      <c r="E37" s="2" t="inlineStr">
        <is>
          <t>from original note "Для УЭС"</t>
        </is>
      </c>
    </row>
    <row r="38">
      <c r="A38" s="2" t="inlineStr">
        <is>
          <t>brine_after</t>
        </is>
      </c>
      <c r="B38" s="2" t="inlineStr">
        <is>
          <t>fluid_density</t>
        </is>
      </c>
      <c r="C38" s="2" t="n">
        <v>1.01</v>
      </c>
      <c r="D38" s="2" t="inlineStr">
        <is>
          <t>g/cm3</t>
        </is>
      </c>
      <c r="E38" s="2" t="inlineStr">
        <is>
          <t>from original note "Для УЭС"</t>
        </is>
      </c>
    </row>
    <row r="39">
      <c r="A39" s="2" t="inlineStr">
        <is>
          <t>brine_after</t>
        </is>
      </c>
      <c r="B39" s="2" t="inlineStr">
        <is>
          <t>fluid_resistivity</t>
        </is>
      </c>
      <c r="C39" s="2" t="n">
        <v>0.26</v>
      </c>
      <c r="D39" s="2" t="inlineStr">
        <is>
          <t>ohm*m</t>
        </is>
      </c>
      <c r="E39" s="2" t="inlineStr">
        <is>
          <t>from original note "Для УЭС"</t>
        </is>
      </c>
    </row>
    <row r="40">
      <c r="A40" s="2" t="inlineStr">
        <is>
          <t>brine_after</t>
        </is>
      </c>
      <c r="B40" s="2" t="inlineStr">
        <is>
          <t>fluid_conductivity</t>
        </is>
      </c>
      <c r="C40" s="4">
        <f>IFERROR(1/C39,"")</f>
        <v/>
      </c>
      <c r="D40" s="2" t="inlineStr">
        <is>
          <t>S/m</t>
        </is>
      </c>
      <c r="E40" s="2" t="inlineStr">
        <is>
          <t>'=1/resistivity</t>
        </is>
      </c>
    </row>
    <row r="41">
      <c r="A41" s="2" t="inlineStr">
        <is>
          <t>brine_after</t>
        </is>
      </c>
      <c r="B41" s="2" t="inlineStr">
        <is>
          <t>fluid_temperature</t>
        </is>
      </c>
      <c r="C41" s="2" t="n">
        <v>24</v>
      </c>
      <c r="D41" s="2" t="inlineStr">
        <is>
          <t>C</t>
        </is>
      </c>
      <c r="E41" s="2" t="inlineStr">
        <is>
          <t>from original note "Для УЭС"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12" customWidth="1" min="4" max="4"/>
    <col width="12" customWidth="1" min="5" max="5"/>
    <col width="16" customWidth="1" min="6" max="6"/>
    <col width="60" customWidth="1" min="7" max="7"/>
    <col width="55" customWidth="1" min="8" max="8"/>
  </cols>
  <sheetData>
    <row r="1">
      <c r="A1" s="3" t="inlineStr">
        <is>
          <t>parameter</t>
        </is>
      </c>
      <c r="B1" s="3" t="inlineStr">
        <is>
          <t>default_value</t>
        </is>
      </c>
      <c r="C1" s="3" t="inlineStr">
        <is>
          <t>lower_bound</t>
        </is>
      </c>
      <c r="D1" s="3" t="inlineStr">
        <is>
          <t>upper_bound</t>
        </is>
      </c>
      <c r="E1" s="3" t="inlineStr">
        <is>
          <t>unit</t>
        </is>
      </c>
      <c r="F1" s="3" t="inlineStr">
        <is>
          <t>scope</t>
        </is>
      </c>
      <c r="G1" s="3" t="inlineStr">
        <is>
          <t>note</t>
        </is>
      </c>
      <c r="H1" s="3" t="inlineStr">
        <is>
          <t>source_url</t>
        </is>
      </c>
    </row>
    <row r="2">
      <c r="A2" s="8" t="inlineStr">
        <is>
          <t>lambda_matrix_w_mk</t>
        </is>
      </c>
      <c r="B2" s="8" t="n">
        <v>2.86</v>
      </c>
      <c r="C2" s="8" t="n">
        <v>2.81</v>
      </c>
      <c r="D2" s="8" t="n">
        <v>2.91</v>
      </c>
      <c r="E2" s="8" t="inlineStr">
        <is>
          <t>W/(m·K)</t>
        </is>
      </c>
      <c r="F2" s="8" t="inlineStr">
        <is>
          <t>global_start</t>
        </is>
      </c>
      <c r="G2" s="8" t="inlineStr">
        <is>
          <t>User-provided working range for carbonate matrix; use as prior/assumption and refine later if mineralogy permits.</t>
        </is>
      </c>
      <c r="H2" s="8" t="inlineStr"/>
    </row>
    <row r="3">
      <c r="A3" s="8" t="inlineStr">
        <is>
          <t>k_matrix_gpa</t>
        </is>
      </c>
      <c r="B3" s="8" t="n">
        <v>76.8</v>
      </c>
      <c r="C3" s="8" t="n">
        <v>76.8</v>
      </c>
      <c r="D3" s="8" t="n">
        <v>94.90000000000001</v>
      </c>
      <c r="E3" s="8" t="inlineStr">
        <is>
          <t>GPa</t>
        </is>
      </c>
      <c r="F3" s="8" t="inlineStr">
        <is>
          <t>global_start</t>
        </is>
      </c>
      <c r="G3" s="8" t="inlineStr">
        <is>
          <t>Initial carbonate matrix bulk modulus. Default = calcite-dominant carbonate; upper bound includes dolomite-rich carbonate.</t>
        </is>
      </c>
      <c r="H3" s="8" t="inlineStr">
        <is>
          <t>https://www.cambridge.org/core/books/rock-physics-handbook/appendices/E2BA72BAA31042FF17CFE7D3F3447AF5</t>
        </is>
      </c>
    </row>
    <row r="4">
      <c r="A4" s="8" t="inlineStr">
        <is>
          <t>g_matrix_gpa</t>
        </is>
      </c>
      <c r="B4" s="8" t="n">
        <v>32</v>
      </c>
      <c r="C4" s="8" t="n">
        <v>32</v>
      </c>
      <c r="D4" s="8" t="n">
        <v>45</v>
      </c>
      <c r="E4" s="8" t="inlineStr">
        <is>
          <t>GPa</t>
        </is>
      </c>
      <c r="F4" s="8" t="inlineStr">
        <is>
          <t>global_start</t>
        </is>
      </c>
      <c r="G4" s="8" t="inlineStr">
        <is>
          <t>Initial carbonate matrix shear modulus. Default = calcite-dominant carbonate; upper bound includes dolomite-rich carbonate.</t>
        </is>
      </c>
      <c r="H4" s="8" t="inlineStr">
        <is>
          <t>https://www.cambridge.org/core/books/rock-physics-handbook/appendices/E2BA72BAA31042FF17CFE7D3F3447AF5</t>
        </is>
      </c>
    </row>
    <row r="5">
      <c r="A5" s="8" t="inlineStr">
        <is>
          <t>rho_matrix_kg_m3</t>
        </is>
      </c>
      <c r="B5" s="8" t="n">
        <v>2710</v>
      </c>
      <c r="C5" s="8" t="n">
        <v>2680</v>
      </c>
      <c r="D5" s="8" t="n">
        <v>2870</v>
      </c>
      <c r="E5" s="8" t="inlineStr">
        <is>
          <t>kg/m3</t>
        </is>
      </c>
      <c r="F5" s="8" t="inlineStr">
        <is>
          <t>global_start</t>
        </is>
      </c>
      <c r="G5" s="8" t="inlineStr">
        <is>
          <t>Representative carbonate mineral density range from calcite to dolomite.</t>
        </is>
      </c>
      <c r="H5" s="8" t="inlineStr">
        <is>
          <t>https://www.cambridge.org/core/books/rock-physics-handbook/appendices/E2BA72BAA31042FF17CFE7D3F3447AF5</t>
        </is>
      </c>
    </row>
    <row r="6">
      <c r="A6" s="9" t="inlineStr">
        <is>
          <t>lambda_water_w_mk</t>
        </is>
      </c>
      <c r="B6" s="9" t="n">
        <v>0.6</v>
      </c>
      <c r="C6" s="9" t="n">
        <v>0.6</v>
      </c>
      <c r="D6" s="9" t="n">
        <v>0.6</v>
      </c>
      <c r="E6" s="9" t="inlineStr">
        <is>
          <t>W/(m·K)</t>
        </is>
      </c>
      <c r="F6" s="9" t="inlineStr">
        <is>
          <t>global_fixed</t>
        </is>
      </c>
      <c r="G6" s="9" t="inlineStr">
        <is>
          <t>User-provided.</t>
        </is>
      </c>
      <c r="H6" s="9" t="inlineStr"/>
    </row>
    <row r="7">
      <c r="A7" s="9" t="inlineStr">
        <is>
          <t>lambda_gas_w_mk</t>
        </is>
      </c>
      <c r="B7" s="9" t="n">
        <v>0.025</v>
      </c>
      <c r="C7" s="9" t="n">
        <v>0.025</v>
      </c>
      <c r="D7" s="9" t="n">
        <v>0.025</v>
      </c>
      <c r="E7" s="9" t="inlineStr">
        <is>
          <t>W/(m·K)</t>
        </is>
      </c>
      <c r="F7" s="9" t="inlineStr">
        <is>
          <t>global_fixed</t>
        </is>
      </c>
      <c r="G7" s="9" t="inlineStr">
        <is>
          <t>User-provided.</t>
        </is>
      </c>
      <c r="H7" s="9" t="inlineStr"/>
    </row>
    <row r="8">
      <c r="A8" s="8" t="inlineStr">
        <is>
          <t>k_water_gpa</t>
        </is>
      </c>
      <c r="B8" s="8" t="n">
        <v>2.2</v>
      </c>
      <c r="C8" s="8" t="n">
        <v>2.2</v>
      </c>
      <c r="D8" s="8" t="n">
        <v>2.2</v>
      </c>
      <c r="E8" s="8" t="inlineStr">
        <is>
          <t>GPa</t>
        </is>
      </c>
      <c r="F8" s="8" t="inlineStr">
        <is>
          <t>global_start</t>
        </is>
      </c>
      <c r="G8" s="8" t="inlineStr">
        <is>
          <t>Standard brine/water starting value for elastic modeling.</t>
        </is>
      </c>
      <c r="H8" s="8" t="inlineStr">
        <is>
          <t>https://csegrecorder.com/articles/view/discovering-a-supermodel-a-rock-physics-tutorial/1000</t>
        </is>
      </c>
    </row>
    <row r="9">
      <c r="A9" s="9" t="inlineStr">
        <is>
          <t>g_water_gpa</t>
        </is>
      </c>
      <c r="B9" s="9" t="n">
        <v>0</v>
      </c>
      <c r="C9" s="9" t="n">
        <v>0</v>
      </c>
      <c r="D9" s="9" t="n">
        <v>0</v>
      </c>
      <c r="E9" s="9" t="inlineStr">
        <is>
          <t>GPa</t>
        </is>
      </c>
      <c r="F9" s="9" t="inlineStr">
        <is>
          <t>global_fixed</t>
        </is>
      </c>
      <c r="G9" s="9" t="inlineStr">
        <is>
          <t>Fluids have negligible shear modulus in the standard model.</t>
        </is>
      </c>
      <c r="H9" s="9" t="inlineStr">
        <is>
          <t>https://csegrecorder.com/articles/view/discovering-a-supermodel-a-rock-physics-tutorial/1000</t>
        </is>
      </c>
    </row>
    <row r="10">
      <c r="A10" s="8" t="inlineStr">
        <is>
          <t>k_gas_gpa</t>
        </is>
      </c>
      <c r="B10" s="8" t="n">
        <v>0.00014</v>
      </c>
      <c r="C10" s="8" t="n">
        <v>0.0001</v>
      </c>
      <c r="D10" s="8" t="n">
        <v>0.001</v>
      </c>
      <c r="E10" s="8" t="inlineStr">
        <is>
          <t>GPa</t>
        </is>
      </c>
      <c r="F10" s="8" t="inlineStr">
        <is>
          <t>global_start</t>
        </is>
      </c>
      <c r="G10" s="8" t="inlineStr">
        <is>
          <t>Low gas bulk modulus starting value; refine with pressure/temperature if available.</t>
        </is>
      </c>
      <c r="H10" s="8" t="inlineStr">
        <is>
          <t>https://csegrecorder.com/articles/view/discovering-a-supermodel-a-rock-physics-tutorial/1000</t>
        </is>
      </c>
    </row>
    <row r="11">
      <c r="A11" s="9" t="inlineStr">
        <is>
          <t>g_gas_gpa</t>
        </is>
      </c>
      <c r="B11" s="9" t="n">
        <v>0</v>
      </c>
      <c r="C11" s="9" t="n">
        <v>0</v>
      </c>
      <c r="D11" s="9" t="n">
        <v>0</v>
      </c>
      <c r="E11" s="9" t="inlineStr">
        <is>
          <t>GPa</t>
        </is>
      </c>
      <c r="F11" s="9" t="inlineStr">
        <is>
          <t>global_fixed</t>
        </is>
      </c>
      <c r="G11" s="9" t="inlineStr">
        <is>
          <t>Fluids have negligible shear modulus in the standard model.</t>
        </is>
      </c>
      <c r="H11" s="9" t="inlineStr">
        <is>
          <t>https://csegrecorder.com/articles/view/discovering-a-supermodel-a-rock-physics-tutorial/1000</t>
        </is>
      </c>
    </row>
    <row r="12">
      <c r="A12" s="10" t="inlineStr">
        <is>
          <t>lambda_brine_note</t>
        </is>
      </c>
      <c r="B12" s="10" t="n"/>
      <c r="C12" s="10" t="n"/>
      <c r="D12" s="10" t="n"/>
      <c r="E12" s="10" t="inlineStr"/>
      <c r="F12" s="10" t="inlineStr">
        <is>
          <t>info</t>
        </is>
      </c>
      <c r="G12" s="10" t="inlineStr">
        <is>
          <t>Wet measurements in the current dataset are labeled as brine 20 g/L.</t>
        </is>
      </c>
      <c r="H12" s="10" t="inlineStr"/>
    </row>
    <row r="13">
      <c r="A13" s="9" t="inlineStr">
        <is>
          <t>brine_density_before_g_cm3</t>
        </is>
      </c>
      <c r="B13" s="9" t="n">
        <v>1.01</v>
      </c>
      <c r="C13" s="9" t="n">
        <v>1.01</v>
      </c>
      <c r="D13" s="9" t="n">
        <v>1.01</v>
      </c>
      <c r="E13" s="9" t="inlineStr">
        <is>
          <t>g/cm3</t>
        </is>
      </c>
      <c r="F13" s="9" t="inlineStr">
        <is>
          <t>experiment_note</t>
        </is>
      </c>
      <c r="G13" s="9" t="inlineStr">
        <is>
          <t>From original note "Для УЭС".</t>
        </is>
      </c>
      <c r="H13" s="9" t="inlineStr"/>
    </row>
    <row r="14">
      <c r="A14" s="9" t="inlineStr">
        <is>
          <t>brine_resistivity_before_ohm_m</t>
        </is>
      </c>
      <c r="B14" s="9" t="n">
        <v>0.32</v>
      </c>
      <c r="C14" s="9" t="n">
        <v>0.32</v>
      </c>
      <c r="D14" s="9" t="n">
        <v>0.32</v>
      </c>
      <c r="E14" s="9" t="inlineStr">
        <is>
          <t>ohm*m</t>
        </is>
      </c>
      <c r="F14" s="9" t="inlineStr">
        <is>
          <t>experiment_note</t>
        </is>
      </c>
      <c r="G14" s="9" t="inlineStr">
        <is>
          <t>From original note "Для УЭС".</t>
        </is>
      </c>
      <c r="H14" s="9" t="inlineStr"/>
    </row>
    <row r="15">
      <c r="A15" s="11" t="inlineStr">
        <is>
          <t>brine_conductivity_before_s_m</t>
        </is>
      </c>
      <c r="B15" s="12">
        <f>IFERROR(1/B14,"")</f>
        <v/>
      </c>
      <c r="C15" s="11" t="n"/>
      <c r="D15" s="11" t="n"/>
      <c r="E15" s="11" t="inlineStr">
        <is>
          <t>S/m</t>
        </is>
      </c>
      <c r="F15" s="11" t="inlineStr">
        <is>
          <t>derived</t>
        </is>
      </c>
      <c r="G15" s="11" t="inlineStr">
        <is>
          <t>Computed as 1 / resistivity.</t>
        </is>
      </c>
      <c r="H15" s="11" t="inlineStr"/>
    </row>
    <row r="16">
      <c r="A16" s="9" t="inlineStr">
        <is>
          <t>brine_density_after_g_cm3</t>
        </is>
      </c>
      <c r="B16" s="9" t="n">
        <v>1.01</v>
      </c>
      <c r="C16" s="9" t="n">
        <v>1.01</v>
      </c>
      <c r="D16" s="9" t="n">
        <v>1.01</v>
      </c>
      <c r="E16" s="9" t="inlineStr">
        <is>
          <t>g/cm3</t>
        </is>
      </c>
      <c r="F16" s="9" t="inlineStr">
        <is>
          <t>experiment_note</t>
        </is>
      </c>
      <c r="G16" s="9" t="inlineStr">
        <is>
          <t>From original note "Для УЭС".</t>
        </is>
      </c>
      <c r="H16" s="9" t="inlineStr"/>
    </row>
    <row r="17">
      <c r="A17" s="9" t="inlineStr">
        <is>
          <t>brine_resistivity_after_ohm_m</t>
        </is>
      </c>
      <c r="B17" s="9" t="n">
        <v>0.26</v>
      </c>
      <c r="C17" s="9" t="n">
        <v>0.26</v>
      </c>
      <c r="D17" s="9" t="n">
        <v>0.26</v>
      </c>
      <c r="E17" s="9" t="inlineStr">
        <is>
          <t>ohm*m</t>
        </is>
      </c>
      <c r="F17" s="9" t="inlineStr">
        <is>
          <t>experiment_note</t>
        </is>
      </c>
      <c r="G17" s="9" t="inlineStr">
        <is>
          <t>From original note "Для УЭС".</t>
        </is>
      </c>
      <c r="H17" s="9" t="inlineStr"/>
    </row>
    <row r="18">
      <c r="A18" s="11" t="inlineStr">
        <is>
          <t>brine_conductivity_after_s_m</t>
        </is>
      </c>
      <c r="B18" s="12">
        <f>IFERROR(1/B17,"")</f>
        <v/>
      </c>
      <c r="C18" s="11" t="n"/>
      <c r="D18" s="11" t="n"/>
      <c r="E18" s="11" t="inlineStr">
        <is>
          <t>S/m</t>
        </is>
      </c>
      <c r="F18" s="11" t="inlineStr">
        <is>
          <t>derived</t>
        </is>
      </c>
      <c r="G18" s="11" t="inlineStr">
        <is>
          <t>Computed as 1 / resistivity.</t>
        </is>
      </c>
      <c r="H18" s="11" t="inlineStr"/>
    </row>
    <row r="19">
      <c r="A19" s="10" t="inlineStr">
        <is>
          <t>mineralogy_note</t>
        </is>
      </c>
      <c r="B19" s="10" t="inlineStr">
        <is>
          <t>карбонаты</t>
        </is>
      </c>
      <c r="C19" s="10" t="n"/>
      <c r="D19" s="10" t="n"/>
      <c r="E19" s="10" t="inlineStr">
        <is>
          <t>text</t>
        </is>
      </c>
      <c r="F19" s="10" t="inlineStr">
        <is>
          <t>global_note</t>
        </is>
      </c>
      <c r="G19" s="10" t="inlineStr">
        <is>
          <t>User-confirmed: carbonates; element-level analysis available.</t>
        </is>
      </c>
      <c r="H19" s="10" t="inlineStr"/>
    </row>
    <row r="20">
      <c r="A20" t="inlineStr">
        <is>
          <t>elemental_analysis_note</t>
        </is>
      </c>
      <c r="B20" t="inlineStr">
        <is>
          <t>available</t>
        </is>
      </c>
      <c r="E20" t="inlineStr">
        <is>
          <t>text</t>
        </is>
      </c>
      <c r="F20" t="inlineStr">
        <is>
          <t>global_note</t>
        </is>
      </c>
      <c r="G20" t="inlineStr">
        <is>
          <t>User-confirmed: elemental (XRF/elemental) analysis is available and can be used to constrain matrix composition qualitatively or semi-quantitatively.</t>
        </is>
      </c>
      <c r="H20" t="inlineStr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22" customWidth="1" min="5" max="5"/>
    <col width="60" customWidth="1" min="6" max="6"/>
  </cols>
  <sheetData>
    <row r="1">
      <c r="A1" s="3" t="inlineStr">
        <is>
          <t>property</t>
        </is>
      </c>
      <c r="B1" s="3" t="inlineStr">
        <is>
          <t>relative_sigma</t>
        </is>
      </c>
      <c r="C1" s="3" t="inlineStr">
        <is>
          <t>absolute_sigma</t>
        </is>
      </c>
      <c r="D1" s="3" t="inlineStr">
        <is>
          <t>unit</t>
        </is>
      </c>
      <c r="E1" s="3" t="inlineStr">
        <is>
          <t>scope</t>
        </is>
      </c>
      <c r="F1" s="3" t="inlineStr">
        <is>
          <t>note</t>
        </is>
      </c>
    </row>
    <row r="2">
      <c r="A2" s="8" t="inlineStr">
        <is>
          <t>tc_w_mk</t>
        </is>
      </c>
      <c r="B2" s="13" t="n">
        <v>0.025</v>
      </c>
      <c r="C2" s="8" t="n"/>
      <c r="D2" s="8" t="inlineStr">
        <is>
          <t>fraction</t>
        </is>
      </c>
      <c r="E2" s="8" t="inlineStr">
        <is>
          <t>experiment_assumption</t>
        </is>
      </c>
      <c r="F2" s="8" t="inlineStr">
        <is>
          <t>User-provided measurement uncertainty for thermal conductivity (2.5%).</t>
        </is>
      </c>
    </row>
    <row r="3">
      <c r="A3" s="8" t="inlineStr">
        <is>
          <t>vp_m_s</t>
        </is>
      </c>
      <c r="B3" s="13" t="n">
        <v>0.05</v>
      </c>
      <c r="C3" s="8" t="n"/>
      <c r="D3" s="8" t="inlineStr">
        <is>
          <t>fraction</t>
        </is>
      </c>
      <c r="E3" s="8" t="inlineStr">
        <is>
          <t>experiment_assumption</t>
        </is>
      </c>
      <c r="F3" s="8" t="inlineStr">
        <is>
          <t>User-provided measurement uncertainty for P-wave velocity (5%).</t>
        </is>
      </c>
    </row>
    <row r="4">
      <c r="A4" s="8" t="inlineStr">
        <is>
          <t>vs_m_s</t>
        </is>
      </c>
      <c r="B4" s="13" t="n">
        <v>0.05</v>
      </c>
      <c r="C4" s="8" t="n"/>
      <c r="D4" s="8" t="inlineStr">
        <is>
          <t>fraction</t>
        </is>
      </c>
      <c r="E4" s="8" t="inlineStr">
        <is>
          <t>experiment_assumption</t>
        </is>
      </c>
      <c r="F4" s="8" t="inlineStr">
        <is>
          <t>User-provided measurement uncertainty for S-wave velocity (5%).</t>
        </is>
      </c>
    </row>
    <row r="5">
      <c r="A5" s="8" t="inlineStr">
        <is>
          <t>resistivity_ohm_m</t>
        </is>
      </c>
      <c r="B5" s="13" t="n">
        <v>0.05</v>
      </c>
      <c r="C5" s="8" t="n"/>
      <c r="D5" s="8" t="inlineStr">
        <is>
          <t>fraction</t>
        </is>
      </c>
      <c r="E5" s="8" t="inlineStr">
        <is>
          <t>experiment_assumption</t>
        </is>
      </c>
      <c r="F5" s="8" t="inlineStr">
        <is>
          <t>User-provided measurement uncertainty for resistivity (5%).</t>
        </is>
      </c>
    </row>
    <row r="6">
      <c r="A6" s="10" t="inlineStr">
        <is>
          <t>phi_frac</t>
        </is>
      </c>
      <c r="B6" s="10" t="n"/>
      <c r="C6" s="10" t="n"/>
      <c r="D6" s="10" t="inlineStr">
        <is>
          <t>fraction</t>
        </is>
      </c>
      <c r="E6" s="10" t="inlineStr">
        <is>
          <t>needed</t>
        </is>
      </c>
      <c r="F6" s="10" t="inlineStr">
        <is>
          <t>Numeric porosity uncertainty not yet supplied. Open porosity is measured by lab standard/protocol; for the first inversion stage treat porosity as fixed or assign a small sensitivity range later from lab QA/repeats.</t>
        </is>
      </c>
    </row>
    <row r="7">
      <c r="A7" s="10" t="inlineStr">
        <is>
          <t>bulk_density_g_cm3</t>
        </is>
      </c>
      <c r="B7" s="10" t="n"/>
      <c r="C7" s="10" t="n"/>
      <c r="D7" s="10" t="inlineStr">
        <is>
          <t>g/cm3</t>
        </is>
      </c>
      <c r="E7" s="10" t="inlineStr">
        <is>
          <t>needed</t>
        </is>
      </c>
      <c r="F7" s="10" t="inlineStr">
        <is>
          <t>Numeric density uncertainty not yet supplied. For the first inversion stage density can be treated as fixed; add measurement uncertainty later if lab repeatability becomes available.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80" customWidth="1" min="2" max="2"/>
    <col width="12" customWidth="1" min="3" max="3"/>
    <col width="18" customWidth="1" min="4" max="4"/>
  </cols>
  <sheetData>
    <row r="1">
      <c r="A1" s="3" t="inlineStr">
        <is>
          <t>needed_item</t>
        </is>
      </c>
      <c r="B1" s="3" t="inlineStr">
        <is>
          <t>why_needed</t>
        </is>
      </c>
      <c r="C1" s="3" t="inlineStr">
        <is>
          <t>priority</t>
        </is>
      </c>
      <c r="D1" s="3" t="inlineStr">
        <is>
          <t>current_status</t>
        </is>
      </c>
    </row>
    <row r="2">
      <c r="A2" s="2" t="inlineStr">
        <is>
          <t>Точная минералогия (хотя бы calcite/dolomite/clay, %)</t>
        </is>
      </c>
      <c r="B2" s="2" t="inlineStr">
        <is>
          <t>Element-level analysis is available. It can help constrain carbonate matrix composition and choose matrix moduli more realistically, even if full mineralogy is not yet quantified.</t>
        </is>
      </c>
      <c r="C2" s="14" t="inlineStr">
        <is>
          <t>high</t>
        </is>
      </c>
      <c r="D2" s="2" t="inlineStr">
        <is>
          <t>elemental_analysis_available</t>
        </is>
      </c>
    </row>
    <row r="3">
      <c r="A3" s="2" t="inlineStr">
        <is>
          <t>Пояснение, значения porosity и density относятся к тем же подобразцам, что и TC/Vp/Vs/УЭС?</t>
        </is>
      </c>
      <c r="B3" s="2" t="inlineStr">
        <is>
          <t>Нужно для строгой совместной инверсии before/after и dry/wet.</t>
        </is>
      </c>
      <c r="C3" s="14" t="inlineStr">
        <is>
          <t>high</t>
        </is>
      </c>
      <c r="D3" s="2" t="inlineStr">
        <is>
          <t>confirmed_yes</t>
        </is>
      </c>
    </row>
    <row r="4">
      <c r="A4" s="2" t="inlineStr">
        <is>
          <t>Есть ли УЭС для отсутствующих wet-точек, или это реально не измерялось?</t>
        </is>
      </c>
      <c r="B4" s="2" t="inlineStr">
        <is>
          <t>Confirmed by user: missing wet resistivity values were not measured. These should remain blank and be excluded from D3 likelihood, not imputed.</t>
        </is>
      </c>
      <c r="C4" s="14" t="inlineStr">
        <is>
          <t>high</t>
        </is>
      </c>
      <c r="D4" s="2" t="inlineStr">
        <is>
          <t>confirmed_not_measured</t>
        </is>
      </c>
    </row>
    <row r="5">
      <c r="A5" s="2" t="inlineStr">
        <is>
          <t>Есть ли погрешность по пористости и плотности?</t>
        </is>
      </c>
      <c r="B5" s="2" t="inlineStr">
        <is>
          <t>Measurement standards are known, but numeric uncertainty values for this dataset have not been provided yet. Start with fixed porosity/density and revisit after lab QA or repeats.</t>
        </is>
      </c>
      <c r="C5" s="14" t="inlineStr">
        <is>
          <t>medium</t>
        </is>
      </c>
      <c r="D5" s="2" t="inlineStr">
        <is>
          <t>standards_known_numeric_not_provided</t>
        </is>
      </c>
    </row>
    <row r="6">
      <c r="A6" s="2" t="inlineStr">
        <is>
          <t>Есть ли температура/давление измерения TC и скоростей для каждого опыта?</t>
        </is>
      </c>
      <c r="B6" s="2" t="inlineStr">
        <is>
          <t>Позволит уточнить fluid constants и снять часть систематической неопределенности.</t>
        </is>
      </c>
      <c r="C6" s="14" t="inlineStr">
        <is>
          <t>medium</t>
        </is>
      </c>
      <c r="D6" s="2" t="inlineStr">
        <is>
          <t>partially_provided</t>
        </is>
      </c>
    </row>
    <row r="7">
      <c r="A7" s="2" t="inlineStr">
        <is>
          <t>Есть ли отдельные повторы измерений?</t>
        </is>
      </c>
      <c r="B7" s="2" t="inlineStr">
        <is>
          <t>Нужны для оценки observation noise из данных, а не только по априорным процентам.</t>
        </is>
      </c>
      <c r="C7" s="14" t="inlineStr">
        <is>
          <t>medium</t>
        </is>
      </c>
      <c r="D7" s="2" t="inlineStr">
        <is>
          <t>not_provided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80" customWidth="1" min="3" max="3"/>
  </cols>
  <sheetData>
    <row r="1">
      <c r="A1" s="15" t="inlineStr">
        <is>
          <t>item</t>
        </is>
      </c>
      <c r="B1" s="15" t="inlineStr">
        <is>
          <t>status</t>
        </is>
      </c>
      <c r="C1" s="15" t="inlineStr">
        <is>
          <t>comment</t>
        </is>
      </c>
    </row>
    <row r="2">
      <c r="A2" t="inlineStr">
        <is>
          <t>matrix_mineralogy</t>
        </is>
      </c>
      <c r="B2" t="inlineStr">
        <is>
          <t>confirmed</t>
        </is>
      </c>
      <c r="C2" t="inlineStr">
        <is>
          <t>Carbonates; elemental analysis available.</t>
        </is>
      </c>
    </row>
    <row r="3">
      <c r="A3" t="inlineStr">
        <is>
          <t>missing_wet_resistivity</t>
        </is>
      </c>
      <c r="B3" t="inlineStr">
        <is>
          <t>confirmed</t>
        </is>
      </c>
      <c r="C3" t="inlineStr">
        <is>
          <t>Not measured, not missing-at-random.</t>
        </is>
      </c>
    </row>
    <row r="4">
      <c r="A4" t="inlineStr">
        <is>
          <t>same_subsamples_before_after</t>
        </is>
      </c>
      <c r="B4" t="inlineStr">
        <is>
          <t>confirmed</t>
        </is>
      </c>
      <c r="C4" t="inlineStr">
        <is>
          <t>Porosity and density correspond to the same sub-samples as TC/Vp/Vs/UES.</t>
        </is>
      </c>
    </row>
    <row r="5">
      <c r="A5" t="inlineStr">
        <is>
          <t>measurement_uncertainty_tc</t>
        </is>
      </c>
      <c r="B5" t="inlineStr">
        <is>
          <t>set</t>
        </is>
      </c>
      <c r="C5" t="inlineStr">
        <is>
          <t>2.5% relative measurement uncertainty.</t>
        </is>
      </c>
    </row>
    <row r="6">
      <c r="A6" t="inlineStr">
        <is>
          <t>measurement_uncertainty_vp_vs</t>
        </is>
      </c>
      <c r="B6" t="inlineStr">
        <is>
          <t>set</t>
        </is>
      </c>
      <c r="C6" t="inlineStr">
        <is>
          <t>5% relative measurement uncertainty for Vp and Vs.</t>
        </is>
      </c>
    </row>
    <row r="7">
      <c r="A7" t="inlineStr">
        <is>
          <t>measurement_uncertainty_resistivity</t>
        </is>
      </c>
      <c r="B7" t="inlineStr">
        <is>
          <t>set</t>
        </is>
      </c>
      <c r="C7" t="inlineStr">
        <is>
          <t>5% relative measurement uncertainty.</t>
        </is>
      </c>
    </row>
    <row r="8">
      <c r="A8" t="inlineStr">
        <is>
          <t>porosity_density_uncertainty</t>
        </is>
      </c>
      <c r="B8" t="inlineStr">
        <is>
          <t>pending</t>
        </is>
      </c>
      <c r="C8" t="inlineStr">
        <is>
          <t>Standards/protocols are known, but numeric dataset-specific uncertainty is still not supplied.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2026-03-30T09:29:15Z</dcterms:created>
  <dcterms:modified xmlns:dcterms="http://purl.org/dc/terms/" xmlns:xsi="http://www.w3.org/2001/XMLSchema-instance" xsi:type="dcterms:W3CDTF">2026-03-30T09:29:15Z</dcterms:modified>
</cp:coreProperties>
</file>